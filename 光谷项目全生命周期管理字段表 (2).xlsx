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字段表" sheetId="2" r:id="rId5"/>
    <sheet name="行业&amp;产业链类别枚举值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<sst xmlns="http://schemas.openxmlformats.org/spreadsheetml/2006/main" count="741" uniqueCount="741">
  <si>
    <t xml:space="preserve">  </t>
  </si>
  <si>
    <t xml:space="preserve">序号</t>
  </si>
  <si>
    <t xml:space="preserve">适用业务阶段</t>
  </si>
  <si>
    <t xml:space="preserve">区级字段名称</t>
  </si>
  <si>
    <t xml:space="preserve">区级字段标识</t>
  </si>
  <si>
    <t xml:space="preserve">区级字段类型</t>
  </si>
  <si>
    <t xml:space="preserve">控件属性 / 枚举层级</t>
  </si>
  <si>
    <t xml:space="preserve">控制与生成逻辑</t>
  </si>
  <si>
    <t xml:space="preserve">是否映射市级</t>
  </si>
  <si>
    <t xml:space="preserve">市级平台字段名称</t>
  </si>
  <si>
    <t xml:space="preserve">市级与区级映射 / 清洗规则</t>
  </si>
  <si>
    <t xml:space="preserve">是否作为查询条件</t>
  </si>
  <si>
    <t xml:space="preserve">是否保留</t>
  </si>
  <si>
    <t xml:space="preserve">备注</t>
  </si>
  <si>
    <t xml:space="preserve">在谈</t>
  </si>
  <si>
    <t xml:space="preserve">全阶段</t>
  </si>
  <si>
    <t xml:space="preserve">项目状态</t>
  </si>
  <si>
    <t xml:space="preserve">project_status</t>
  </si>
  <si>
    <t xml:space="preserve">单选下拉</t>
  </si>
  <si>
    <t xml:space="preserve">单级选择（谋划/在谈/签约/落地/退库等）</t>
  </si>
  <si>
    <t xml:space="preserve">系统生成 / 推进变更</t>
  </si>
  <si>
    <t xml:space="preserve">否</t>
  </si>
  <si>
    <t xml:space="preserve">阶段映射对齐（如市级“洽谈” $\rightarrow$ 区级“在谈”）</t>
  </si>
  <si>
    <t xml:space="preserve">通过列表区分</t>
  </si>
  <si>
    <t xml:space="preserve">在谈,签约,落地</t>
  </si>
  <si>
    <t xml:space="preserve">承接区</t>
  </si>
  <si>
    <t xml:space="preserve">undertaking_area</t>
  </si>
  <si>
    <t xml:space="preserve">单级选择（区内各片区/园区）</t>
  </si>
  <si>
    <t xml:space="preserve">选填</t>
  </si>
  <si>
    <t xml:space="preserve">1:1枚举值字典对照映射</t>
  </si>
  <si>
    <t xml:space="preserve">是否必要？</t>
  </si>
  <si>
    <t xml:space="preserve">申报级别</t>
  </si>
  <si>
    <t xml:space="preserve">apply_level</t>
  </si>
  <si>
    <t xml:space="preserve">单级选择</t>
  </si>
  <si>
    <t xml:space="preserve">报送区</t>
  </si>
  <si>
    <t xml:space="preserve">reporting_area</t>
  </si>
  <si>
    <t xml:space="preserve">报送单位</t>
  </si>
  <si>
    <t xml:space="preserve">reporting_unit</t>
  </si>
  <si>
    <t xml:space="preserve">单行文本 / 选择器</t>
  </si>
  <si>
    <t xml:space="preserve">文本输入或选择器</t>
  </si>
  <si>
    <t xml:space="preserve">1:1文本直接映射</t>
  </si>
  <si>
    <t xml:space="preserve">区级责任领导</t>
  </si>
  <si>
    <t xml:space="preserve">district_leader_in_charge</t>
  </si>
  <si>
    <t xml:space="preserve">单行文本 / 人员选择</t>
  </si>
  <si>
    <t xml:space="preserve">文本输入</t>
  </si>
  <si>
    <t xml:space="preserve">问题类型</t>
  </si>
  <si>
    <t xml:space="preserve">issue_type</t>
  </si>
  <si>
    <t xml:space="preserve">单选 / 多选下拉</t>
  </si>
  <si>
    <t xml:space="preserve">单级选择（资金/土地/政策/审批/其他）</t>
  </si>
  <si>
    <t xml:space="preserve">预警状态</t>
  </si>
  <si>
    <t xml:space="preserve">warning_status</t>
  </si>
  <si>
    <t xml:space="preserve">单级选择（正常/黄色预警/红色预警）</t>
  </si>
  <si>
    <t xml:space="preserve">系统生成</t>
  </si>
  <si>
    <t xml:space="preserve">导入时可接收市级状态，后续由区级预警规则计算覆盖</t>
  </si>
  <si>
    <t xml:space="preserve">申报人</t>
  </si>
  <si>
    <t xml:space="preserve">applicant_name</t>
  </si>
  <si>
    <t xml:space="preserve">单行文本 / 组合文本</t>
  </si>
  <si>
    <t xml:space="preserve">格式：单位/部门-姓名</t>
  </si>
  <si>
    <t xml:space="preserve">系统生成 / 导入获取</t>
  </si>
  <si>
    <t xml:space="preserve">是</t>
  </si>
  <si>
    <t xml:space="preserve">1:1文本映射，导入时解析或记录原始文本</t>
  </si>
  <si>
    <t xml:space="preserve">申报时间</t>
  </si>
  <si>
    <t xml:space="preserve">apply_time</t>
  </si>
  <si>
    <t xml:space="preserve">日期时间</t>
  </si>
  <si>
    <t xml:space="preserve">时间戳 (YYYY-MM-DD HH:mm:ss)</t>
  </si>
  <si>
    <t xml:space="preserve">标准时间格式转换落库</t>
  </si>
  <si>
    <t xml:space="preserve">市投促局联络人</t>
  </si>
  <si>
    <t xml:space="preserve">city_inv_contact</t>
  </si>
  <si>
    <t xml:space="preserve">单行文本</t>
  </si>
  <si>
    <t xml:space="preserve">区投促局责任人</t>
  </si>
  <si>
    <t xml:space="preserve">district_inv_owner</t>
  </si>
  <si>
    <t xml:space="preserve">格式：姓名-电话</t>
  </si>
  <si>
    <t xml:space="preserve">必填</t>
  </si>
  <si>
    <t xml:space="preserve">1:1映射，可配置匹配区级系统账号体系</t>
  </si>
  <si>
    <t xml:space="preserve">审核状态</t>
  </si>
  <si>
    <t xml:space="preserve">audit_status</t>
  </si>
  <si>
    <t xml:space="preserve">单级（待审核/审核通过/已驳回等）</t>
  </si>
  <si>
    <t xml:space="preserve">1:1枚举值对照映射</t>
  </si>
  <si>
    <t xml:space="preserve">谋划,在谈</t>
  </si>
  <si>
    <t xml:space="preserve">电话核实情况</t>
  </si>
  <si>
    <t xml:space="preserve">phone_verify_status</t>
  </si>
  <si>
    <t xml:space="preserve">单选下拉 / 文本</t>
  </si>
  <si>
    <t xml:space="preserve">单级选择（已核实/未核实/异常等）</t>
  </si>
  <si>
    <t xml:space="preserve">1:1对照映射或文本留存</t>
  </si>
  <si>
    <t xml:space="preserve">项目名称</t>
  </si>
  <si>
    <t xml:space="preserve">project_name</t>
  </si>
  <si>
    <t xml:space="preserve">字符限制：0/40</t>
  </si>
  <si>
    <t xml:space="preserve">签约,落地</t>
  </si>
  <si>
    <t xml:space="preserve">纳统项目名称</t>
  </si>
  <si>
    <t xml:space="preserve">nat_project_name</t>
  </si>
  <si>
    <t xml:space="preserve">字符限制：0/100</t>
  </si>
  <si>
    <t xml:space="preserve">项目分类</t>
  </si>
  <si>
    <t xml:space="preserve">project_category</t>
  </si>
  <si>
    <t xml:space="preserve">单级选择（政策类、投资类、供地类、其他）</t>
  </si>
  <si>
    <t/>
    <r>
      <rPr>
        <b val="true"/>
        <i val="false"/>
        <strike val="false"/>
        <sz val="10"/>
        <color rgb="FF000000"/>
      </rPr>
      <t>必填</t>
    </r>
    <r>
      <rPr>
        <b val="false"/>
        <i val="false"/>
        <strike val="false"/>
        <sz val="0"/>
        <color rgb="FF000000"/>
      </rPr>
      <t>，区级管控核心维度</t>
    </r>
  </si>
  <si>
    <t xml:space="preserve">(无)</t>
  </si>
  <si>
    <t/>
    <r>
      <rPr>
        <b val="true"/>
        <i val="false"/>
        <strike val="false"/>
        <sz val="10"/>
        <color rgb="FF000000"/>
      </rPr>
      <t>区级特有字段</t>
    </r>
    <r>
      <rPr>
        <b val="false"/>
        <i val="false"/>
        <strike val="false"/>
        <sz val="0"/>
        <color rgb="FF000000"/>
      </rPr>
      <t>。不映射市级</t>
    </r>
  </si>
  <si>
    <t xml:space="preserve">核心决策节点</t>
  </si>
  <si>
    <t xml:space="preserve">core_decision_node</t>
  </si>
  <si>
    <t xml:space="preserve">多选下拉 / 级联</t>
  </si>
  <si>
    <t xml:space="preserve">动态枚举（根据 project_category 与投资金额联动）</t>
  </si>
  <si>
    <t/>
    <r>
      <rPr>
        <b val="true"/>
        <i val="false"/>
        <strike val="false"/>
        <sz val="10"/>
        <color rgb="FF000000"/>
      </rPr>
      <t xml:space="preserve">前置条件与联动控制：
</t>
    </r>
    <r>
      <rPr>
        <b val="false"/>
        <i val="false"/>
        <strike val="false"/>
        <sz val="10"/>
        <color rgb="FF000000"/>
      </rPr>
      <t>1.</t>
    </r>
    <r>
      <rPr>
        <b val="true"/>
        <i val="false"/>
        <strike val="false"/>
        <sz val="10"/>
        <color rgb="FF000000"/>
      </rPr>
      <t>政策类</t>
    </r>
    <r>
      <rPr>
        <b val="false"/>
        <i val="false"/>
        <strike val="false"/>
        <sz val="10"/>
        <color rgb="FF000000"/>
      </rPr>
      <t xml:space="preserve">：显示 投委会、常务会
2. </t>
    </r>
    <r>
      <rPr>
        <b val="true"/>
        <i val="false"/>
        <strike val="false"/>
        <sz val="10"/>
        <color rgb="FF000000"/>
      </rPr>
      <t>投资类</t>
    </r>
    <r>
      <rPr>
        <b val="false"/>
        <i val="false"/>
        <strike val="false"/>
        <sz val="10"/>
        <color rgb="FF000000"/>
      </rPr>
      <t>：若</t>
    </r>
    <r>
      <rPr>
        <b val="true"/>
        <i val="false"/>
        <strike val="false"/>
        <sz val="10"/>
        <color rgb="FF000000"/>
      </rPr>
      <t xml:space="preserve">投资金额 &gt; 5000万</t>
    </r>
    <r>
      <rPr>
        <b val="false"/>
        <i val="false"/>
        <strike val="false"/>
        <sz val="10"/>
        <color rgb="FF000000"/>
      </rPr>
      <t xml:space="preserve">显示 国企投决会、投委会、常务会；否则不涉及/禁用
3. </t>
    </r>
    <r>
      <rPr>
        <b val="true"/>
        <i val="false"/>
        <strike val="false"/>
        <sz val="10"/>
        <color rgb="FF000000"/>
      </rPr>
      <t>供地类</t>
    </r>
    <r>
      <rPr>
        <b val="false"/>
        <i val="false"/>
        <strike val="false"/>
        <sz val="10"/>
        <color rgb="FF000000"/>
      </rPr>
      <t xml:space="preserve">：显示 投委会、常务会、供地会
4. </t>
    </r>
    <r>
      <rPr>
        <b val="true"/>
        <i val="false"/>
        <strike val="false"/>
        <sz val="10"/>
        <color rgb="FF000000"/>
      </rPr>
      <t>其他类</t>
    </r>
    <r>
      <rPr>
        <b val="false"/>
        <i val="false"/>
        <strike val="false"/>
        <sz val="10"/>
        <color rgb="FF000000"/>
      </rPr>
      <t>：隐藏/不涉及</t>
    </r>
  </si>
  <si>
    <t/>
    <r>
      <rPr>
        <b val="true"/>
        <i val="false"/>
        <strike val="false"/>
        <sz val="10"/>
        <color rgb="FF000000"/>
      </rPr>
      <t>区级特有字段</t>
    </r>
    <r>
      <rPr>
        <b val="false"/>
        <i val="false"/>
        <strike val="false"/>
        <sz val="0"/>
        <color rgb="FF000000"/>
      </rPr>
      <t>。不映射市级，仅在区级内部流转与决策看板中展示</t>
    </r>
  </si>
  <si>
    <t xml:space="preserve">统计部门纳统计划总投资额（万元）</t>
  </si>
  <si>
    <t xml:space="preserve">nat_planned_invest</t>
  </si>
  <si>
    <t xml:space="preserve">数值</t>
  </si>
  <si>
    <t xml:space="preserve">逻辑校验：仅数字</t>
  </si>
  <si>
    <t xml:space="preserve">统计部门纳统计划总投资额</t>
  </si>
  <si>
    <t xml:space="preserve">映射导入，自动去除“万元”等非数字后缀</t>
  </si>
  <si>
    <t xml:space="preserve">内外资</t>
  </si>
  <si>
    <t xml:space="preserve">capital_nature</t>
  </si>
  <si>
    <t xml:space="preserve">单级选择（内资/外资）</t>
  </si>
  <si>
    <t xml:space="preserve">值需映射</t>
  </si>
  <si>
    <t xml:space="preserve">市级“国内资本” $\rightarrow$ 区级“内资”
市级“外商投资” $\rightarrow$ 区级“外资”</t>
  </si>
  <si>
    <t xml:space="preserve">来源地</t>
  </si>
  <si>
    <t xml:space="preserve">source_region</t>
  </si>
  <si>
    <t xml:space="preserve">单级选择（省份/地市/国家列表）</t>
  </si>
  <si>
    <t xml:space="preserve">产业类别</t>
  </si>
  <si>
    <t xml:space="preserve">industry_type</t>
  </si>
  <si>
    <t xml:space="preserve">单级选择（农业/工业/服务业）</t>
  </si>
  <si>
    <t xml:space="preserve">映射区级配置的多级/单级产业字典表</t>
  </si>
  <si>
    <t xml:space="preserve">是否为存量企业</t>
  </si>
  <si>
    <t xml:space="preserve">is_stock_enterprise</t>
  </si>
  <si>
    <t xml:space="preserve">单选框 (Radio)</t>
  </si>
  <si>
    <t xml:space="preserve">单级（是/否）</t>
  </si>
  <si>
    <t/>
    <r>
      <rPr>
        <b val="true"/>
        <i val="false"/>
        <strike val="false"/>
        <sz val="10"/>
        <color rgb="FF000000"/>
      </rPr>
      <t>必填</t>
    </r>
    <r>
      <rPr>
        <b val="false"/>
        <i val="false"/>
        <strike val="false"/>
        <sz val="0"/>
        <color rgb="FF000000"/>
      </rPr>
      <t>，默认：是</t>
    </r>
  </si>
  <si>
    <t xml:space="preserve">1:1直接映射（是/否）</t>
  </si>
  <si>
    <t xml:space="preserve">存量企业类型</t>
  </si>
  <si>
    <t xml:space="preserve">stock_enterprise_type</t>
  </si>
  <si>
    <t xml:space="preserve">单级选择(为存量企业新项目投资/为存量企业技改投资/其他)</t>
  </si>
  <si>
    <t/>
    <r>
      <rPr>
        <b val="true"/>
        <i val="false"/>
        <strike val="false"/>
        <sz val="10"/>
        <color rgb="FF000000"/>
      </rPr>
      <t>前置条件：</t>
    </r>
    <r>
      <rPr>
        <b val="false"/>
        <i val="false"/>
        <strike val="false"/>
        <sz val="0"/>
        <color rgb="FF000000"/>
      </rPr>
      <t xml:space="preserve">
当 is_stock_enterprise = </t>
    </r>
    <r>
      <rPr>
        <b val="true"/>
        <i val="false"/>
        <strike val="false"/>
        <sz val="10"/>
        <color rgb="FF000000"/>
      </rPr>
      <t>“是”</t>
    </r>
    <r>
      <rPr>
        <b val="false"/>
        <i val="false"/>
        <strike val="false"/>
        <sz val="0"/>
        <color rgb="FF000000"/>
      </rPr>
      <t xml:space="preserve"> 时显示并必填</t>
    </r>
  </si>
  <si>
    <t xml:space="preserve">枚举值对照映射</t>
  </si>
  <si>
    <t xml:space="preserve">存量企业类型-其他</t>
  </si>
  <si>
    <t xml:space="preserve">stock_type_other</t>
  </si>
  <si>
    <t xml:space="preserve">选填文本</t>
  </si>
  <si>
    <t/>
    <r>
      <rPr>
        <b val="true"/>
        <i val="false"/>
        <strike val="false"/>
        <sz val="10"/>
        <color rgb="FF000000"/>
      </rPr>
      <t xml:space="preserve">前置条件：
</t>
    </r>
    <r>
      <rPr>
        <b val="false"/>
        <i val="false"/>
        <strike val="false"/>
        <sz val="10"/>
        <color rgb="FF000000"/>
      </rPr>
      <t xml:space="preserve">当 stock_enterprise_type = </t>
    </r>
    <r>
      <rPr>
        <b val="true"/>
        <i val="false"/>
        <strike val="false"/>
        <sz val="10"/>
        <color rgb="FF000000"/>
      </rPr>
      <t>“其他”</t>
    </r>
    <r>
      <rPr>
        <b val="false"/>
        <i val="false"/>
        <strike val="false"/>
        <sz val="10"/>
        <color rgb="FF000000"/>
      </rPr>
      <t xml:space="preserve"> 时显示</t>
    </r>
  </si>
  <si>
    <t xml:space="preserve">区级补充字段，手动录入或导入解析逻辑拼接</t>
  </si>
  <si>
    <t xml:space="preserve">首次投资年份</t>
  </si>
  <si>
    <t xml:space="preserve">first_invest_year</t>
  </si>
  <si>
    <t xml:space="preserve">日期选择</t>
  </si>
  <si>
    <t xml:space="preserve">年份选择器 (YYYY)</t>
  </si>
  <si>
    <t xml:space="preserve">格式校验统一转为 YYYY 标准年份</t>
  </si>
  <si>
    <t xml:space="preserve">行业类别</t>
  </si>
  <si>
    <t xml:space="preserve">industry_category</t>
  </si>
  <si>
    <t xml:space="preserve">级联选择 (Cascader)</t>
  </si>
  <si>
    <t/>
    <r>
      <rPr>
        <b val="true"/>
        <i val="false"/>
        <strike val="false"/>
        <sz val="10"/>
        <color rgb="FF000000"/>
      </rPr>
      <t>两级选择</t>
    </r>
    <r>
      <rPr>
        <b val="false"/>
        <i val="false"/>
        <strike val="false"/>
        <sz val="10"/>
        <color rgb="FF000000"/>
      </rPr>
      <t xml:space="preserve">（门类 -- 大类），详见《字段枚举值》</t>
    </r>
  </si>
  <si>
    <t xml:space="preserve">映射区级“行业类别级联字典”</t>
  </si>
  <si>
    <t xml:space="preserve">次要行业类别</t>
  </si>
  <si>
    <t xml:space="preserve">secondary_industry_cat</t>
  </si>
  <si>
    <t xml:space="preserve">同上，双向映射级联编码</t>
  </si>
  <si>
    <t xml:space="preserve">对应“965”产业链类别</t>
  </si>
  <si>
    <t xml:space="preserve">chain_type_965</t>
  </si>
  <si>
    <t/>
    <r>
      <rPr>
        <b val="true"/>
        <i val="false"/>
        <strike val="false"/>
        <sz val="10"/>
        <color rgb="FF000000"/>
      </rPr>
      <t>两级选择</t>
    </r>
    <r>
      <rPr>
        <b val="false"/>
        <i val="false"/>
        <strike val="false"/>
        <sz val="10"/>
        <color rgb="FF000000"/>
      </rPr>
      <t xml:space="preserve">（主链 -- 子链），详见《字段枚举值》</t>
    </r>
  </si>
  <si>
    <t xml:space="preserve">映射“965产业链”双层级树状枚举字典</t>
  </si>
  <si>
    <t xml:space="preserve">次要产业链类别</t>
  </si>
  <si>
    <t xml:space="preserve">secondary_chain_type</t>
  </si>
  <si>
    <t xml:space="preserve">所属“五谷”优势产业集群</t>
  </si>
  <si>
    <t xml:space="preserve">wugu_industry_cluster</t>
  </si>
  <si>
    <t xml:space="preserve">单级选择（光谷优势产业集群、车谷优势产业集群、网谷优势产业集群、星谷优势产业集群、药谷优势产业集群、不涉及）</t>
  </si>
  <si>
    <t xml:space="preserve">1:1枚举值映射</t>
  </si>
  <si>
    <t xml:space="preserve">所属片区</t>
  </si>
  <si>
    <t xml:space="preserve">belong_area</t>
  </si>
  <si>
    <t xml:space="preserve">单级选择（临空港片区、阳逻港片区、不涉及）</t>
  </si>
  <si>
    <t xml:space="preserve">市级名称与区级行政片区枚举自动对齐</t>
  </si>
  <si>
    <t xml:space="preserve">投资主体</t>
  </si>
  <si>
    <t xml:space="preserve">investor_entity</t>
  </si>
  <si>
    <t xml:space="preserve">投资金额（亿元）</t>
  </si>
  <si>
    <t xml:space="preserve">invest_amount_billion</t>
  </si>
  <si>
    <t xml:space="preserve">精度：保留两位小数</t>
  </si>
  <si>
    <t xml:space="preserve">选填，默认：0</t>
  </si>
  <si>
    <t xml:space="preserve">自动处理单位转换（若市级导出为“亿元”则直接映射，若为“万元”自动除以10000存入）</t>
  </si>
  <si>
    <t xml:space="preserve">建设性质</t>
  </si>
  <si>
    <t xml:space="preserve">construction_nature</t>
  </si>
  <si>
    <t xml:space="preserve">2层选择：
单级（新建、扩建、改建、技改、开业、其它）
单级（固投开工类、开业营业类）</t>
  </si>
  <si>
    <t xml:space="preserve">企业类别</t>
  </si>
  <si>
    <t xml:space="preserve">enterprise_category</t>
  </si>
  <si>
    <t xml:space="preserve">单级选择（省级高新技术企业、国家级高新技术企业、国家级专精特新、省级专精特新、省级瞪羚企业、国家级瞪羚企业、金种子、省级独角兽独角兽、国家级独角兽企业、潜在独角兽、世界500强、中国500强、中国民营500强、中国服务业500强、国家级专精特新“小巨人”、省级专精特新“小巨人”、中国制造业500强、新经济500强、其它）</t>
  </si>
  <si>
    <t xml:space="preserve">企业性质</t>
  </si>
  <si>
    <t xml:space="preserve">enterprise_nature</t>
  </si>
  <si>
    <t xml:space="preserve">单级选择（国企（央企）、国企（地方）、民企、外企（独资）、外企(合资或合伙)）</t>
  </si>
  <si>
    <t xml:space="preserve">注册资本（万元）</t>
  </si>
  <si>
    <t xml:space="preserve">registered_capital</t>
  </si>
  <si>
    <t xml:space="preserve">数值+单位选择</t>
  </si>
  <si>
    <t xml:space="preserve">单选（万元/亿元）</t>
  </si>
  <si>
    <t xml:space="preserve">选填，默认：0 万元</t>
  </si>
  <si>
    <t xml:space="preserve">注册资本</t>
  </si>
  <si>
    <t xml:space="preserve">结合币种自动换算统一存为“万元人民币”</t>
  </si>
  <si>
    <t xml:space="preserve">成立日期</t>
  </si>
  <si>
    <t xml:space="preserve">establishment_date</t>
  </si>
  <si>
    <t xml:space="preserve">日期选择器 (YYYY-MM-DD)</t>
  </si>
  <si>
    <t xml:space="preserve">格式校验统一转为 YYYY-MM-DD</t>
  </si>
  <si>
    <t xml:space="preserve">交办层级</t>
  </si>
  <si>
    <t xml:space="preserve">assigned_level</t>
  </si>
  <si>
    <t xml:space="preserve">单级（书记、市长、副市长、非领导交办、区主要领导、区分管领导、区投促局领导）</t>
  </si>
  <si>
    <t xml:space="preserve">选填，默认：非领导交办</t>
  </si>
  <si>
    <t xml:space="preserve">是否产业外溢</t>
  </si>
  <si>
    <t xml:space="preserve">is_industry_overflow</t>
  </si>
  <si>
    <t xml:space="preserve">选填，默认：是</t>
  </si>
  <si>
    <t xml:space="preserve">外溢来源</t>
  </si>
  <si>
    <t xml:space="preserve">overflow_source</t>
  </si>
  <si>
    <t xml:space="preserve">单级选择（江岸区、江汉区、硚口区、汉阳区、武昌区、青山区、洪山区、蔡甸区、江夏区、黄陂区、新洲区、东湖高新区、武汉经开区、武汉临空港、长江新区）</t>
  </si>
  <si>
    <t/>
    <r>
      <rPr>
        <b val="true"/>
        <i val="false"/>
        <strike val="false"/>
        <sz val="10"/>
        <color rgb="FF000000"/>
      </rPr>
      <t xml:space="preserve">前置条件：
</t>
    </r>
    <r>
      <rPr>
        <b val="false"/>
        <i val="false"/>
        <strike val="false"/>
        <sz val="10"/>
        <color rgb="FF000000"/>
      </rPr>
      <t xml:space="preserve">当 is_industry_overflow = </t>
    </r>
    <r>
      <rPr>
        <b val="true"/>
        <i val="false"/>
        <strike val="false"/>
        <sz val="10"/>
        <color rgb="FF000000"/>
      </rPr>
      <t>“是”</t>
    </r>
    <r>
      <rPr>
        <b val="false"/>
        <i val="false"/>
        <strike val="false"/>
        <sz val="10"/>
        <color rgb="FF000000"/>
      </rPr>
      <t xml:space="preserve"> 时显示并可选</t>
    </r>
  </si>
  <si>
    <t xml:space="preserve">1:1枚举值对照映射；“否”时自动清空</t>
  </si>
  <si>
    <t xml:space="preserve">是否“飞地园区”</t>
  </si>
  <si>
    <t xml:space="preserve">is_enclave_park</t>
  </si>
  <si>
    <t xml:space="preserve">是否飞地园区</t>
  </si>
  <si>
    <t xml:space="preserve">投资主体联系人</t>
  </si>
  <si>
    <t xml:space="preserve">investor_contact_person</t>
  </si>
  <si>
    <t xml:space="preserve">投资主体联系人电话</t>
  </si>
  <si>
    <t xml:space="preserve">investor_contact_phone</t>
  </si>
  <si>
    <t xml:space="preserve">字符限制：0/15</t>
  </si>
  <si>
    <t xml:space="preserve">电话</t>
  </si>
  <si>
    <t xml:space="preserve">正则校验手机/固话格式</t>
  </si>
  <si>
    <t xml:space="preserve">报送联络人</t>
  </si>
  <si>
    <t xml:space="preserve">reporter_contact_person</t>
  </si>
  <si>
    <t xml:space="preserve">报送联络人电话</t>
  </si>
  <si>
    <t xml:space="preserve">reporter_contact_phone</t>
  </si>
  <si>
    <t xml:space="preserve">字符限制：0/11</t>
  </si>
  <si>
    <t xml:space="preserve">正则校验 11 位手机号</t>
  </si>
  <si>
    <t xml:space="preserve">招商类型</t>
  </si>
  <si>
    <t xml:space="preserve">merchant_type</t>
  </si>
  <si>
    <t xml:space="preserve">单级选择（产业链招商、资本链招商（股权融资）、科创链招商、场景招商、央地合作、人才招引（楚商校友）、其它）</t>
  </si>
  <si>
    <t xml:space="preserve">招商类型说明</t>
  </si>
  <si>
    <t xml:space="preserve">merchant_type_desc</t>
  </si>
  <si>
    <t xml:space="preserve">楚商类型</t>
  </si>
  <si>
    <t xml:space="preserve">chushang_type</t>
  </si>
  <si>
    <t xml:space="preserve">单级选择（湖北籍企业家、武汉校友、武大校友、华科校友、非楚商、泛楚商）</t>
  </si>
  <si>
    <t xml:space="preserve">楚商基本信息</t>
  </si>
  <si>
    <t xml:space="preserve">chushang_info</t>
  </si>
  <si>
    <t xml:space="preserve">多行文本</t>
  </si>
  <si>
    <t xml:space="preserve">文本域输入</t>
  </si>
  <si>
    <t xml:space="preserve">项目简介</t>
  </si>
  <si>
    <t xml:space="preserve">project_description</t>
  </si>
  <si>
    <t xml:space="preserve">字符限制：0/999</t>
  </si>
  <si>
    <t xml:space="preserve">1:1长文本直接映射</t>
  </si>
  <si>
    <t xml:space="preserve">对接时间</t>
  </si>
  <si>
    <t xml:space="preserve">docking_date</t>
  </si>
  <si>
    <t xml:space="preserve">附件</t>
  </si>
  <si>
    <t xml:space="preserve">attachment_files</t>
  </si>
  <si>
    <t xml:space="preserve">文件上传</t>
  </si>
  <si>
    <t xml:space="preserve">单文件不超过 50MB
格式：word, pdf, excel, ppt, jpg, png</t>
  </si>
  <si>
    <t xml:space="preserve">区级按阶段控制</t>
  </si>
  <si>
    <t xml:space="preserve">(无，市级不导出)</t>
  </si>
  <si>
    <t/>
    <r>
      <rPr>
        <b val="true"/>
        <i val="false"/>
        <strike val="false"/>
        <sz val="10"/>
        <color rgb="FF000000"/>
      </rPr>
      <t>导入不含附件</t>
    </r>
    <r>
      <rPr>
        <b val="false"/>
        <i val="false"/>
        <strike val="false"/>
        <sz val="0"/>
        <color rgb="FF000000"/>
      </rPr>
      <t>。导入后标记“待补齐”，人工补传</t>
    </r>
  </si>
  <si>
    <t xml:space="preserve">是否研判</t>
  </si>
  <si>
    <t xml:space="preserve">is_evaluated</t>
  </si>
  <si>
    <t xml:space="preserve">是否研发中心</t>
  </si>
  <si>
    <t xml:space="preserve">is_rd_center</t>
  </si>
  <si>
    <t xml:space="preserve">选填，默认：否</t>
  </si>
  <si>
    <t xml:space="preserve">研发中心</t>
  </si>
  <si>
    <t xml:space="preserve">是否总部经济</t>
  </si>
  <si>
    <t xml:space="preserve">is_headquarters</t>
  </si>
  <si>
    <t xml:space="preserve">签约阶段必填</t>
  </si>
  <si>
    <t xml:space="preserve">是否先进制造业</t>
  </si>
  <si>
    <t xml:space="preserve">is_advanced_mfg</t>
  </si>
  <si>
    <t xml:space="preserve">签约</t>
  </si>
  <si>
    <t xml:space="preserve">市级项目代码</t>
  </si>
  <si>
    <t xml:space="preserve">project_code</t>
  </si>
  <si>
    <t xml:space="preserve">字符限制：0/50</t>
  </si>
  <si>
    <t xml:space="preserve">导入获取</t>
  </si>
  <si>
    <t xml:space="preserve">项目代码</t>
  </si>
  <si>
    <t xml:space="preserve">1:1文本直接映射（发改立项代码）</t>
  </si>
  <si>
    <t xml:space="preserve">区级项目代码</t>
  </si>
  <si>
    <t xml:space="preserve">签约主体（洽谈主体）</t>
  </si>
  <si>
    <t xml:space="preserve">sign_entity_name</t>
  </si>
  <si>
    <t xml:space="preserve">签约主体社会信用代码</t>
  </si>
  <si>
    <t xml:space="preserve">sign_entity_uscc</t>
  </si>
  <si>
    <t xml:space="preserve">18位字符限制</t>
  </si>
  <si>
    <t xml:space="preserve">1:1文本校验落库</t>
  </si>
  <si>
    <t xml:space="preserve">企业类别佐证</t>
  </si>
  <si>
    <t xml:space="preserve">enterprise_cat_proof</t>
  </si>
  <si>
    <t xml:space="preserve">单文件不超过 50MB</t>
  </si>
  <si>
    <t xml:space="preserve">签约阶段文件附件，区级补充存储</t>
  </si>
  <si>
    <t xml:space="preserve">项目建设地址</t>
  </si>
  <si>
    <t xml:space="preserve">construction_address</t>
  </si>
  <si>
    <t xml:space="preserve">单行文本 / 级联</t>
  </si>
  <si>
    <t xml:space="preserve">字符限制：0/200</t>
  </si>
  <si>
    <t xml:space="preserve">1:1文本或地址空间坐标解析</t>
  </si>
  <si>
    <t xml:space="preserve">是否推送至省库</t>
  </si>
  <si>
    <t xml:space="preserve">push_to_provincial</t>
  </si>
  <si>
    <t xml:space="preserve">是否浙商</t>
  </si>
  <si>
    <t xml:space="preserve">is_zhejiang_merchant</t>
  </si>
  <si>
    <t xml:space="preserve">浙商类型</t>
  </si>
  <si>
    <t xml:space="preserve">zhejiang_merchant_type</t>
  </si>
  <si>
    <t xml:space="preserve">单级选择（枚举值：1. 企业主要领导是浙商；2. 浙江企业）</t>
  </si>
  <si>
    <t xml:space="preserve">选填
前置条件：
当 is_zhejiang_merchant = “是” 时显示并可选</t>
  </si>
  <si>
    <t xml:space="preserve">1:1枚举字典对照映射</t>
  </si>
  <si>
    <t xml:space="preserve">浙商基本信息</t>
  </si>
  <si>
    <t xml:space="preserve">zhejiang_merchant_basic_info</t>
  </si>
  <si>
    <t xml:space="preserve">大文本框</t>
  </si>
  <si>
    <t/>
    <r>
      <rPr>
        <b val="true"/>
        <i val="false"/>
        <strike val="false"/>
        <sz val="10"/>
        <color rgb="FF000000"/>
      </rPr>
      <t xml:space="preserve">选填
</t>
    </r>
    <r>
      <rPr>
        <b val="false"/>
        <i val="false"/>
        <strike val="false"/>
        <sz val="10"/>
        <color rgb="FF000000"/>
      </rPr>
      <t xml:space="preserve">前置条件：
当 is_zhejiang_merchant = “是” 时显示</t>
    </r>
  </si>
  <si>
    <t xml:space="preserve">内外贸</t>
  </si>
  <si>
    <t xml:space="preserve">domestic_foreign_trade</t>
  </si>
  <si>
    <t xml:space="preserve">单级选择（内贸/外贸）</t>
  </si>
  <si>
    <t xml:space="preserve">是否FDI</t>
  </si>
  <si>
    <t xml:space="preserve">is_fdi</t>
  </si>
  <si>
    <t xml:space="preserve">1:1直接映射（是/否，外商直接投资）</t>
  </si>
  <si>
    <t xml:space="preserve">预计产值（万元）</t>
  </si>
  <si>
    <t xml:space="preserve">est_output_value</t>
  </si>
  <si>
    <t xml:space="preserve">1:1数值映射（或自动除以10000转换亿元）</t>
  </si>
  <si>
    <t xml:space="preserve">预计投产时间</t>
  </si>
  <si>
    <t xml:space="preserve">est_production_date</t>
  </si>
  <si>
    <t/>
    <r>
      <rPr>
        <b val="false"/>
        <i val="false"/>
        <strike val="false"/>
        <sz val="0"/>
        <color rgb="FF000000"/>
      </rPr>
      <t xml:space="preserve">日期选择器 (</t>
    </r>
    <r>
      <rPr>
        <b val="false"/>
        <i val="false"/>
        <strike val="false"/>
        <sz val="10"/>
        <color rgb="FF000000"/>
        <rFont val="monospace"/>
      </rPr>
      <t>YYYY-MM-DD</t>
    </r>
    <r>
      <rPr>
        <b val="false"/>
        <i val="false"/>
        <strike val="false"/>
        <sz val="0"/>
        <color rgb="FF000000"/>
      </rPr>
      <t>)</t>
    </r>
  </si>
  <si>
    <t/>
    <r>
      <rPr>
        <b val="false"/>
        <i val="false"/>
        <strike val="false"/>
        <sz val="0"/>
        <color rgb="FF000000"/>
      </rPr>
      <t xml:space="preserve">统一转换格式为 </t>
    </r>
    <r>
      <rPr>
        <b val="false"/>
        <i val="false"/>
        <strike val="false"/>
        <sz val="10"/>
        <color rgb="FF000000"/>
        <rFont val="monospace"/>
      </rPr>
      <t>YYYY-MM-DD</t>
    </r>
  </si>
  <si>
    <t xml:space="preserve">用地情况</t>
  </si>
  <si>
    <t xml:space="preserve">land_situation</t>
  </si>
  <si>
    <t xml:space="preserve">单级选择（工业用地出让、商服用地出让、商业用地出让、住宅用地出让、物流用地出让、租赁厂房、租赁办公用房、购买办公用房、购买厂房、其它、文教卫用地出让、自有办公用房）</t>
  </si>
  <si>
    <t xml:space="preserve">用地/办公面积</t>
  </si>
  <si>
    <t xml:space="preserve">land_office_area</t>
  </si>
  <si>
    <t xml:space="preserve">数值+单位</t>
  </si>
  <si>
    <t xml:space="preserve">数值 + 下拉（亩/㎡）</t>
  </si>
  <si>
    <t xml:space="preserve">1:1数值与单位映射落库</t>
  </si>
  <si>
    <t xml:space="preserve">申报理由</t>
  </si>
  <si>
    <t xml:space="preserve">apply_reason</t>
  </si>
  <si>
    <t xml:space="preserve">字符限制：0/500</t>
  </si>
  <si>
    <t xml:space="preserve">是否战略性新兴产业</t>
  </si>
  <si>
    <t xml:space="preserve">is_strategic_emerging</t>
  </si>
  <si>
    <t xml:space="preserve">是否重点产业</t>
  </si>
  <si>
    <t xml:space="preserve">is_key_industry</t>
  </si>
  <si>
    <t xml:space="preserve">门类</t>
  </si>
  <si>
    <t xml:space="preserve">national_industry_gate</t>
  </si>
  <si>
    <t xml:space="preserve">GB/T 4754 一级门类，详见《GB/T 4754 国标》</t>
  </si>
  <si>
    <t/>
    <r>
      <rPr>
        <b val="true"/>
        <i val="false"/>
        <strike val="false"/>
        <sz val="10"/>
        <color rgb="FF000000"/>
      </rPr>
      <t>必填</t>
    </r>
    <r>
      <rPr>
        <b val="false"/>
        <i val="false"/>
        <strike val="false"/>
        <sz val="10"/>
        <color rgb="FF000000"/>
      </rPr>
      <t>，联动下级</t>
    </r>
  </si>
  <si>
    <t xml:space="preserve">大类</t>
  </si>
  <si>
    <t xml:space="preserve">national_industry_major</t>
  </si>
  <si>
    <t xml:space="preserve">GB/T 4754 二级大类</t>
  </si>
  <si>
    <t/>
    <r>
      <rPr>
        <b val="true"/>
        <i val="false"/>
        <strike val="false"/>
        <sz val="10"/>
        <color rgb="FF000000"/>
      </rPr>
      <t>必填</t>
    </r>
    <r>
      <rPr>
        <b val="false"/>
        <i val="false"/>
        <strike val="false"/>
        <sz val="0"/>
        <color rgb="FF000000"/>
      </rPr>
      <t>，受门类联动过滤</t>
    </r>
  </si>
  <si>
    <t xml:space="preserve">中类</t>
  </si>
  <si>
    <t xml:space="preserve">national_industry_medium</t>
  </si>
  <si>
    <t xml:space="preserve">GB/T 4754 三级中类</t>
  </si>
  <si>
    <t/>
    <r>
      <rPr>
        <b val="true"/>
        <i val="false"/>
        <strike val="false"/>
        <sz val="10"/>
        <color rgb="FF000000"/>
      </rPr>
      <t>必填</t>
    </r>
    <r>
      <rPr>
        <b val="false"/>
        <i val="false"/>
        <strike val="false"/>
        <sz val="0"/>
        <color rgb="FF000000"/>
      </rPr>
      <t>，受大类联动过滤</t>
    </r>
  </si>
  <si>
    <t xml:space="preserve">小类</t>
  </si>
  <si>
    <t xml:space="preserve">national_industry_small</t>
  </si>
  <si>
    <t xml:space="preserve">GB/T 4754 四级小类</t>
  </si>
  <si>
    <t/>
    <r>
      <rPr>
        <b val="true"/>
        <i val="false"/>
        <strike val="false"/>
        <sz val="10"/>
        <color rgb="FF000000"/>
      </rPr>
      <t>必填</t>
    </r>
    <r>
      <rPr>
        <b val="false"/>
        <i val="false"/>
        <strike val="false"/>
        <sz val="0"/>
        <color rgb="FF000000"/>
      </rPr>
      <t>，受中类联动过滤</t>
    </r>
  </si>
  <si>
    <t xml:space="preserve">行业代码</t>
  </si>
  <si>
    <t xml:space="preserve">national_industry_code</t>
  </si>
  <si>
    <t xml:space="preserve">单行文本/自动生成</t>
  </si>
  <si>
    <t xml:space="preserve">4位数字标准行业代码</t>
  </si>
  <si>
    <t/>
    <r>
      <rPr>
        <b val="true"/>
        <i val="false"/>
        <strike val="false"/>
        <sz val="10"/>
        <color rgb="FF000000"/>
      </rPr>
      <t>必填</t>
    </r>
    <r>
      <rPr>
        <b val="false"/>
        <i val="false"/>
        <strike val="false"/>
        <sz val="0"/>
        <color rgb="FF000000"/>
      </rPr>
      <t>，根据小类选择结果自动填充绑定</t>
    </r>
  </si>
  <si>
    <t xml:space="preserve">1:1编码文本映射</t>
  </si>
  <si>
    <t xml:space="preserve">次要门类</t>
  </si>
  <si>
    <t xml:space="preserve">secondary_national_industry_gate</t>
  </si>
  <si>
    <t xml:space="preserve">GB/T 4754 门类清单</t>
  </si>
  <si>
    <t xml:space="preserve">选填，用于多行业属性补充</t>
  </si>
  <si>
    <t xml:space="preserve">计划投资总额(亿元)</t>
  </si>
  <si>
    <t xml:space="preserve">planned_total_investment</t>
  </si>
  <si>
    <t xml:space="preserve">数值输入</t>
  </si>
  <si>
    <t xml:space="preserve">数值框</t>
  </si>
  <si>
    <t xml:space="preserve">1:1数值校验落库</t>
  </si>
  <si>
    <t xml:space="preserve">备案资金额(亿元)</t>
  </si>
  <si>
    <t xml:space="preserve">record_funding_amount</t>
  </si>
  <si>
    <t xml:space="preserve">1:1数值映射</t>
  </si>
  <si>
    <t xml:space="preserve">投资形态</t>
  </si>
  <si>
    <t xml:space="preserve">investment_form</t>
  </si>
  <si>
    <t xml:space="preserve">预计年产值(亿元)</t>
  </si>
  <si>
    <t xml:space="preserve">estimated_annual_output</t>
  </si>
  <si>
    <t xml:space="preserve">预计年税收(亿元)</t>
  </si>
  <si>
    <t xml:space="preserve">estimated_annual_tax</t>
  </si>
  <si>
    <t xml:space="preserve">年度计划投资安排</t>
  </si>
  <si>
    <t xml:space="preserve">annual_investment_plan</t>
  </si>
  <si>
    <t xml:space="preserve">动态表格</t>
  </si>
  <si>
    <t xml:space="preserve">含：年份、投资金额(亿元)、投资内容</t>
  </si>
  <si>
    <t xml:space="preserve">选填，支持动态增删</t>
  </si>
  <si>
    <t xml:space="preserve">JSON数组或子表结构映射</t>
  </si>
  <si>
    <t xml:space="preserve">当年到资情况(亿元)</t>
  </si>
  <si>
    <t xml:space="preserve">current_year_capital_arrival</t>
  </si>
  <si>
    <t xml:space="preserve">到位资金用途说明</t>
  </si>
  <si>
    <t xml:space="preserve">capital_usage_description</t>
  </si>
  <si>
    <t xml:space="preserve">是否签约</t>
  </si>
  <si>
    <t xml:space="preserve">is_signed</t>
  </si>
  <si>
    <t xml:space="preserve">默认：否</t>
  </si>
  <si>
    <t xml:space="preserve">协议签订时间</t>
  </si>
  <si>
    <t xml:space="preserve">agreement_sign_time</t>
  </si>
  <si>
    <t xml:space="preserve">日期选择器</t>
  </si>
  <si>
    <t xml:space="preserve">YYYY-MM-DD</t>
  </si>
  <si>
    <t xml:space="preserve">1:1日期格式映射</t>
  </si>
  <si>
    <t xml:space="preserve">协议类型</t>
  </si>
  <si>
    <t xml:space="preserve">agreement_type</t>
  </si>
  <si>
    <t xml:space="preserve">单级选择（正式投资协议、战略框架协议、备忘录、其他）</t>
  </si>
  <si>
    <t xml:space="preserve">协议凭证附件上传</t>
  </si>
  <si>
    <t xml:space="preserve">agreement_proof_files</t>
  </si>
  <si>
    <t xml:space="preserve">多附件上传 (按钮：+ 上传附件)</t>
  </si>
  <si>
    <t xml:space="preserve">区级保存协议扫描件凭证</t>
  </si>
  <si>
    <t xml:space="preserve">是否注册</t>
  </si>
  <si>
    <t xml:space="preserve">is_registered</t>
  </si>
  <si>
    <t/>
    <r>
      <rPr>
        <b val="true"/>
        <i val="false"/>
        <strike val="false"/>
        <sz val="10"/>
        <color rgb="FF000000"/>
      </rPr>
      <t>必填</t>
    </r>
    <r>
      <rPr>
        <b val="false"/>
        <i val="false"/>
        <strike val="false"/>
        <sz val="0"/>
        <color rgb="FF000000"/>
      </rPr>
      <t>，默认：否</t>
    </r>
  </si>
  <si>
    <t xml:space="preserve">数值+下拉</t>
  </si>
  <si>
    <t xml:space="preserve">数值框 + 单位（如：万元）</t>
  </si>
  <si>
    <t xml:space="preserve">1:1数值及单位映射</t>
  </si>
  <si>
    <t xml:space="preserve">重复</t>
  </si>
  <si>
    <t xml:space="preserve">注册公司名称</t>
  </si>
  <si>
    <t xml:space="preserve">registered_company_name</t>
  </si>
  <si>
    <t xml:space="preserve">文本输入框</t>
  </si>
  <si>
    <t xml:space="preserve">选填（根据【是否注册】联动）</t>
  </si>
  <si>
    <t xml:space="preserve">1:1文本映射</t>
  </si>
  <si>
    <t xml:space="preserve">社会信用代码</t>
  </si>
  <si>
    <t xml:space="preserve">social_credit_code</t>
  </si>
  <si>
    <t xml:space="preserve">18位统一社会信用代码</t>
  </si>
  <si>
    <t xml:space="preserve">1:1文本校验映射</t>
  </si>
  <si>
    <t xml:space="preserve">工商注册凭证上传</t>
  </si>
  <si>
    <t xml:space="preserve">business_registration_proof_files</t>
  </si>
  <si>
    <t xml:space="preserve">区级保存营业执照等凭证</t>
  </si>
  <si>
    <t xml:space="preserve">是否开工/开业</t>
  </si>
  <si>
    <t xml:space="preserve">is_commenced</t>
  </si>
  <si>
    <t xml:space="preserve">发改/经信认定开工</t>
  </si>
  <si>
    <t xml:space="preserve">ndrc_mit_certified_commenced</t>
  </si>
  <si>
    <t xml:space="preserve">其它凭证</t>
  </si>
  <si>
    <t xml:space="preserve">other_proof_files</t>
  </si>
  <si>
    <t xml:space="preserve">多附件上传</t>
  </si>
  <si>
    <t xml:space="preserve">区级保存补充证明凭证</t>
  </si>
  <si>
    <t xml:space="preserve">是否投产</t>
  </si>
  <si>
    <t xml:space="preserve">is_commissioned</t>
  </si>
  <si>
    <t xml:space="preserve">经信认定投产</t>
  </si>
  <si>
    <t xml:space="preserve">mit_certified_commissioned</t>
  </si>
  <si>
    <t xml:space="preserve">是否注销</t>
  </si>
  <si>
    <t xml:space="preserve">is_cancelled</t>
  </si>
  <si>
    <t xml:space="preserve">signing_entity</t>
  </si>
  <si>
    <t xml:space="preserve">单行文本+按钮</t>
  </si>
  <si>
    <t xml:space="preserve">输入框（带 + 按钮选择主体）</t>
  </si>
  <si>
    <t xml:space="preserve">signing_entity_uscc</t>
  </si>
  <si>
    <t xml:space="preserve">18位统一社会信用代码框</t>
  </si>
  <si>
    <t xml:space="preserve">enterprise_category_proof_files</t>
  </si>
  <si>
    <t xml:space="preserve">多附件上传（按钮：+ 上传附件）</t>
  </si>
  <si>
    <t xml:space="preserve">区级保存企业资质证明附件</t>
  </si>
  <si>
    <t xml:space="preserve">投资主体社会信用代码</t>
  </si>
  <si>
    <t xml:space="preserve">investor_uscc</t>
  </si>
  <si>
    <t xml:space="preserve">电话（投资主体）-=【重复了】</t>
  </si>
  <si>
    <t xml:space="preserve">电话/手机号校验框</t>
  </si>
  <si>
    <t xml:space="preserve">投资主体联系电话</t>
  </si>
  <si>
    <t xml:space="preserve">1:1格式校验映射</t>
  </si>
  <si>
    <t xml:space="preserve">区投促局联系人</t>
  </si>
  <si>
    <t xml:space="preserve">district_investment_contact_person</t>
  </si>
  <si>
    <t xml:space="preserve">电话（区投促局）</t>
  </si>
  <si>
    <t xml:space="preserve">district_investment_contact_phone</t>
  </si>
  <si>
    <t xml:space="preserve">区投促局联系电话</t>
  </si>
  <si>
    <t xml:space="preserve">city_investment_contact_person</t>
  </si>
  <si>
    <t/>
    <r>
      <rPr>
        <b val="true"/>
        <i val="false"/>
        <strike val="false"/>
        <sz val="10"/>
        <color rgb="FF000000"/>
      </rPr>
      <t>电话</t>
    </r>
    <r>
      <rPr>
        <b val="true"/>
        <i val="false"/>
        <strike val="false"/>
        <sz val="10"/>
        <color rgb="FF000000"/>
      </rPr>
      <t>（市投促局）</t>
    </r>
  </si>
  <si>
    <t xml:space="preserve">city_investment_contact_phone</t>
  </si>
  <si>
    <t xml:space="preserve">市投促局联络电话</t>
  </si>
  <si>
    <t xml:space="preserve">工商注册信息（是否/名称/USCC/资本）</t>
  </si>
  <si>
    <t xml:space="preserve">registration_info</t>
  </si>
  <si>
    <t xml:space="preserve">组合控件</t>
  </si>
  <si>
    <t xml:space="preserve">包含：注册资本、开工/投产标记等</t>
  </si>
  <si>
    <t xml:space="preserve">工商注册信息</t>
  </si>
  <si>
    <t xml:space="preserve">包含注册资本、开工投产状态映射</t>
  </si>
  <si>
    <t xml:space="preserve">发改/经信/销户认定标记</t>
  </si>
  <si>
    <t xml:space="preserve">dept_recognition_flags</t>
  </si>
  <si>
    <t xml:space="preserve">组合单选框</t>
  </si>
  <si>
    <t xml:space="preserve">单级选择（是/否）</t>
  </si>
  <si>
    <t xml:space="preserve">发改/经信认定信息</t>
  </si>
  <si>
    <t xml:space="preserve">1:1直接映射认定状态</t>
  </si>
  <si>
    <t xml:space="preserve">策划类型</t>
  </si>
  <si>
    <t xml:space="preserve">planning_type</t>
  </si>
  <si>
    <t xml:space="preserve">单级选择（一般经营性项目、工业项目、划拨类用地项目、其它）</t>
  </si>
  <si>
    <t xml:space="preserve">立项属性</t>
  </si>
  <si>
    <t xml:space="preserve">project_approval_attribute</t>
  </si>
  <si>
    <t xml:space="preserve">单级选择（审批、核准、备案）</t>
  </si>
  <si>
    <t xml:space="preserve">1:1级联或文本映射</t>
  </si>
  <si>
    <t xml:space="preserve">统计部门纳税计划总投资额</t>
  </si>
  <si>
    <t xml:space="preserve">stat_tax_planned_total_investment</t>
  </si>
  <si>
    <t xml:space="preserve">单位：万元，数值框</t>
  </si>
  <si>
    <t xml:space="preserve">chain_965_secondary</t>
  </si>
  <si>
    <t xml:space="preserve">双联下拉</t>
  </si>
  <si>
    <t xml:space="preserve">两级选择</t>
  </si>
  <si>
    <t/>
    <r>
      <rPr>
        <b val="true"/>
        <i val="false"/>
        <strike val="false"/>
        <sz val="10"/>
        <color rgb="FF000000"/>
      </rPr>
      <t>必填</t>
    </r>
    <r>
      <rPr>
        <b val="false"/>
        <i val="false"/>
        <strike val="false"/>
        <sz val="0"/>
        <color rgb="FF000000"/>
      </rPr>
      <t>，配合主产业链联动选择</t>
    </r>
  </si>
  <si>
    <t xml:space="preserve">级联枚举字典对照映射</t>
  </si>
  <si>
    <t xml:space="preserve">affiliated_area</t>
  </si>
  <si>
    <t xml:space="preserve">单级选择（如不涉及等）</t>
  </si>
  <si>
    <t xml:space="preserve">含年份、投资金额(亿元)、投资内容</t>
  </si>
  <si>
    <t xml:space="preserve">选填，支持点击“新增/删除”动态多条</t>
  </si>
  <si>
    <t xml:space="preserve">当年到资情况</t>
  </si>
  <si>
    <t xml:space="preserve">单位：亿元</t>
  </si>
  <si>
    <t xml:space="preserve">协议凭证</t>
  </si>
  <si>
    <t/>
    <r>
      <rPr>
        <b val="true"/>
        <i val="false"/>
        <strike val="false"/>
        <sz val="10"/>
        <color rgb="FF000000"/>
      </rPr>
      <t>必填</t>
    </r>
    <r>
      <rPr>
        <b val="false"/>
        <i val="false"/>
        <strike val="false"/>
        <sz val="0"/>
        <color rgb="FF000000"/>
      </rPr>
      <t>（转签约时需传协议扫描件）</t>
    </r>
  </si>
  <si>
    <t xml:space="preserve">市投促局联络人及电话</t>
  </si>
  <si>
    <t xml:space="preserve">city_investment_contact_info</t>
  </si>
  <si>
    <t xml:space="preserve">姓名及电话组合框</t>
  </si>
  <si>
    <t xml:space="preserve">备注列表</t>
  </si>
  <si>
    <t xml:space="preserve">remarks_list</t>
  </si>
  <si>
    <t xml:space="preserve">支持“+ 新增备注2”，含序号/备注内容</t>
  </si>
  <si>
    <t xml:space="preserve">选填，支持多条备注记录</t>
  </si>
  <si>
    <t xml:space="preserve">备注信息</t>
  </si>
  <si>
    <t xml:space="preserve">多条文本汇总或JSON数组映射</t>
  </si>
  <si>
    <t xml:space="preserve">落地</t>
  </si>
  <si>
    <t xml:space="preserve">总部经济类型</t>
  </si>
  <si>
    <t xml:space="preserve">headquarters_type</t>
  </si>
  <si>
    <t xml:space="preserve">两级选择
一级：全球总部、亚太总部、中国总部、华中区域总部、第二总部、功能性总部、其它
二级：用地建设类、开业营运类
一级二级无联动</t>
  </si>
  <si>
    <t/>
    <r>
      <rPr>
        <b val="true"/>
        <i val="false"/>
        <strike val="false"/>
        <sz val="10"/>
        <color rgb="FF000000"/>
      </rPr>
      <t>前置条件：</t>
    </r>
    <r>
      <rPr>
        <b val="false"/>
        <i val="false"/>
        <strike val="false"/>
        <sz val="0"/>
        <color rgb="FF000000"/>
      </rPr>
      <t xml:space="preserve">
当 is_headquarters = </t>
    </r>
    <r>
      <rPr>
        <b val="true"/>
        <i val="false"/>
        <strike val="false"/>
        <sz val="10"/>
        <color rgb="FF000000"/>
      </rPr>
      <t>“是”</t>
    </r>
    <r>
      <rPr>
        <b val="false"/>
        <i val="false"/>
        <strike val="false"/>
        <sz val="0"/>
        <color rgb="FF000000"/>
      </rPr>
      <t xml:space="preserve"> 时</t>
    </r>
    <r>
      <rPr>
        <b val="true"/>
        <i val="false"/>
        <strike val="false"/>
        <sz val="10"/>
        <color rgb="FF000000"/>
      </rPr>
      <t>必填</t>
    </r>
  </si>
  <si>
    <t xml:space="preserve">1:1级联或下拉枚举值字典对照映射</t>
  </si>
  <si>
    <t xml:space="preserve">重点产业</t>
  </si>
  <si>
    <t xml:space="preserve">key_industry_type</t>
  </si>
  <si>
    <t xml:space="preserve">单级选择（量子科技、空天信息、人工智能、生物医药、光芯屏端网）</t>
  </si>
  <si>
    <t/>
    <r>
      <rPr>
        <b val="true"/>
        <i val="false"/>
        <strike val="false"/>
        <sz val="10"/>
        <color rgb="FF000000"/>
      </rPr>
      <t>前置条件：</t>
    </r>
    <r>
      <rPr>
        <b val="false"/>
        <i val="false"/>
        <strike val="false"/>
        <sz val="0"/>
        <color rgb="FF000000"/>
      </rPr>
      <t xml:space="preserve">
当 is_key_industry = </t>
    </r>
    <r>
      <rPr>
        <b val="true"/>
        <i val="false"/>
        <strike val="false"/>
        <sz val="10"/>
        <color rgb="FF000000"/>
      </rPr>
      <t>“是”</t>
    </r>
    <r>
      <rPr>
        <b val="false"/>
        <i val="false"/>
        <strike val="false"/>
        <sz val="0"/>
        <color rgb="FF000000"/>
      </rPr>
      <t xml:space="preserve"> 时</t>
    </r>
    <r>
      <rPr>
        <b val="true"/>
        <i val="false"/>
        <strike val="false"/>
        <sz val="10"/>
        <color rgb="FF000000"/>
      </rPr>
      <t>必填</t>
    </r>
  </si>
  <si>
    <t xml:space="preserve">注册时间</t>
  </si>
  <si>
    <t xml:space="preserve">registration_date</t>
  </si>
  <si>
    <t/>
    <r>
      <rPr>
        <b val="true"/>
        <i val="false"/>
        <strike val="false"/>
        <sz val="10"/>
        <color rgb="FF000000"/>
      </rPr>
      <t>前置条件：</t>
    </r>
    <r>
      <rPr>
        <b val="false"/>
        <i val="false"/>
        <strike val="false"/>
        <sz val="0"/>
        <color rgb="FF000000"/>
      </rPr>
      <t xml:space="preserve">
当 is_registered = </t>
    </r>
    <r>
      <rPr>
        <b val="true"/>
        <i val="false"/>
        <strike val="false"/>
        <sz val="10"/>
        <color rgb="FF000000"/>
      </rPr>
      <t>“是”</t>
    </r>
    <r>
      <rPr>
        <b val="false"/>
        <i val="false"/>
        <strike val="false"/>
        <sz val="0"/>
        <color rgb="FF000000"/>
      </rPr>
      <t xml:space="preserve"> 时</t>
    </r>
    <r>
      <rPr>
        <b val="true"/>
        <i val="false"/>
        <strike val="false"/>
        <sz val="10"/>
        <color rgb="FF000000"/>
      </rPr>
      <t>必填</t>
    </r>
  </si>
  <si>
    <t xml:space="preserve">统一转换格式为 YYYY-MM-DD</t>
  </si>
  <si>
    <t/>
    <r>
      <rPr>
        <b val="true"/>
        <i val="false"/>
        <strike val="true"/>
        <sz val="10"/>
        <color rgb="FF8F959E"/>
      </rPr>
      <t>前置条件：</t>
    </r>
    <r>
      <rPr>
        <b val="false"/>
        <i val="false"/>
        <strike val="true"/>
        <sz val="10"/>
        <color rgb="FF8F959E"/>
      </rPr>
      <t xml:space="preserve">
当 is_registered = </t>
    </r>
    <r>
      <rPr>
        <b val="true"/>
        <i val="false"/>
        <strike val="true"/>
        <sz val="10"/>
        <color rgb="FF8F959E"/>
      </rPr>
      <t>“是”</t>
    </r>
    <r>
      <rPr>
        <b val="false"/>
        <i val="false"/>
        <strike val="true"/>
        <sz val="10"/>
        <color rgb="FF8F959E"/>
      </rPr>
      <t xml:space="preserve"> 时</t>
    </r>
    <r>
      <rPr>
        <b val="true"/>
        <i val="false"/>
        <strike val="true"/>
        <sz val="10"/>
        <color rgb="FF8F959E"/>
      </rPr>
      <t>必填</t>
    </r>
  </si>
  <si>
    <t xml:space="preserve">registered_capital_amount</t>
  </si>
  <si>
    <t xml:space="preserve">数值 + 下拉（亿元/万元等）</t>
  </si>
  <si>
    <t xml:space="preserve">结合币种/单位统一换算落库</t>
  </si>
  <si>
    <t xml:space="preserve">注册社会信用代码</t>
  </si>
  <si>
    <t xml:space="preserve">registered_uscc</t>
  </si>
  <si>
    <t xml:space="preserve">1:1文本格式校验落库</t>
  </si>
  <si>
    <t xml:space="preserve">感觉该字段命名不规范</t>
  </si>
  <si>
    <t xml:space="preserve">registration_proof_files</t>
  </si>
  <si>
    <t xml:space="preserve">多附件上传 (支持 pdf/png/jpg)</t>
  </si>
  <si>
    <t xml:space="preserve">区级保存证明附件（如营业执照扫描件）</t>
  </si>
  <si>
    <t xml:space="preserve">is_commenced_opened</t>
  </si>
  <si>
    <t xml:space="preserve">落地阶段必填</t>
  </si>
  <si>
    <t xml:space="preserve">开工开业类型</t>
  </si>
  <si>
    <t xml:space="preserve">commenced_opened_type</t>
  </si>
  <si>
    <t/>
    <r>
      <rPr>
        <b val="true"/>
        <i val="false"/>
        <strike val="false"/>
        <sz val="10"/>
        <color rgb="FF000000"/>
      </rPr>
      <t>前置条件：</t>
    </r>
    <r>
      <rPr>
        <b val="false"/>
        <i val="false"/>
        <strike val="false"/>
        <sz val="0"/>
        <color rgb="FF000000"/>
      </rPr>
      <t xml:space="preserve">
当 is_commenced_opened = </t>
    </r>
    <r>
      <rPr>
        <b val="true"/>
        <i val="false"/>
        <strike val="false"/>
        <sz val="10"/>
        <color rgb="FF000000"/>
      </rPr>
      <t>“是”</t>
    </r>
    <r>
      <rPr>
        <b val="false"/>
        <i val="false"/>
        <strike val="false"/>
        <sz val="0"/>
        <color rgb="FF000000"/>
      </rPr>
      <t xml:space="preserve"> 时</t>
    </r>
    <r>
      <rPr>
        <b val="true"/>
        <i val="false"/>
        <strike val="false"/>
        <sz val="10"/>
        <color rgb="FF000000"/>
      </rPr>
      <t>必填</t>
    </r>
  </si>
  <si>
    <t xml:space="preserve">开工/开业类型</t>
  </si>
  <si>
    <t xml:space="preserve">1:1单选枚举字典对照映射</t>
  </si>
  <si>
    <t xml:space="preserve">需提供枚举值</t>
  </si>
  <si>
    <t xml:space="preserve">开工/开业时间</t>
  </si>
  <si>
    <t xml:space="preserve">commenced_opened_date</t>
  </si>
  <si>
    <t xml:space="preserve">开工开业时间</t>
  </si>
  <si>
    <t xml:space="preserve">租赁办公场所合同</t>
  </si>
  <si>
    <t xml:space="preserve">office_lease_contract</t>
  </si>
  <si>
    <t xml:space="preserve">多附件上传 (支持 pdf/doc 等)</t>
  </si>
  <si>
    <t xml:space="preserve">场地/办公租赁或购买合同凭证</t>
  </si>
  <si>
    <t xml:space="preserve">现场照片</t>
  </si>
  <si>
    <t xml:space="preserve">site_photos</t>
  </si>
  <si>
    <t xml:space="preserve">多图片上传 (支持 jpg/png)</t>
  </si>
  <si>
    <t xml:space="preserve">项目现场或运营开业现场实景照片</t>
  </si>
  <si>
    <t xml:space="preserve">当年到位资金情况(亿元)</t>
  </si>
  <si>
    <t xml:space="preserve">current_year_funds_arrival</t>
  </si>
  <si>
    <t xml:space="preserve">对应“965”产业链二级类别</t>
  </si>
  <si>
    <t xml:space="preserve">chain_965_sub_category</t>
  </si>
  <si>
    <t xml:space="preserve">二级子类下拉</t>
  </si>
  <si>
    <t xml:space="preserve">选填（联动965主类）</t>
  </si>
  <si>
    <t xml:space="preserve">次要产业链二级类别</t>
  </si>
  <si>
    <t xml:space="preserve">secondary_chain_965_sub_category</t>
  </si>
  <si>
    <t xml:space="preserve">选填（联动次要产业链）</t>
  </si>
  <si>
    <t xml:space="preserve">顺</t>
  </si>
  <si>
    <t xml:space="preserve">注册资本(万元)</t>
  </si>
  <si>
    <t xml:space="preserve">registered_capital_ten_thousand</t>
  </si>
  <si>
    <t xml:space="preserve">数值框（单位：万元）</t>
  </si>
  <si>
    <t xml:space="preserve">1:1数值映射（与亿元转换）</t>
  </si>
  <si>
    <t xml:space="preserve">【重复】</t>
  </si>
  <si>
    <t xml:space="preserve">国家级新基地</t>
  </si>
  <si>
    <t xml:space="preserve">national_new_base</t>
  </si>
  <si>
    <t xml:space="preserve">单级选择（枚举如：是/否或具体基地名）</t>
  </si>
  <si>
    <t xml:space="preserve">【这是填的吗？在哪儿填？】</t>
  </si>
  <si>
    <t xml:space="preserve">世界级产业集群</t>
  </si>
  <si>
    <t xml:space="preserve">world_class_industrial_cluster</t>
  </si>
  <si>
    <t xml:space="preserve">总部建设类型</t>
  </si>
  <si>
    <t xml:space="preserve">headquarters_construction_type</t>
  </si>
  <si>
    <t xml:space="preserve">选填（选总部经济后触发）</t>
  </si>
  <si>
    <t xml:space="preserve">到资金额(亿元)</t>
  </si>
  <si>
    <t xml:space="preserve">actual_funds_arrived</t>
  </si>
  <si>
    <t xml:space="preserve">district_responsible_leader</t>
  </si>
  <si>
    <t xml:space="preserve">签约审核通过时间</t>
  </si>
  <si>
    <t xml:space="preserve">signing_audit_pass_time</t>
  </si>
  <si>
    <t xml:space="preserve">YYYY-MM-DD HH:mm:ss</t>
  </si>
  <si>
    <t xml:space="preserve">节点控制生成，只读</t>
  </si>
  <si>
    <t xml:space="preserve">1:1时间戳格式转换落库</t>
  </si>
  <si>
    <t xml:space="preserve">区级平台不涉及审核</t>
  </si>
  <si>
    <t xml:space="preserve">落地审核通过时间</t>
  </si>
  <si>
    <t xml:space="preserve">landing_audit_pass_time</t>
  </si>
  <si>
    <t xml:space="preserve">签约主体单位证照类型</t>
  </si>
  <si>
    <t xml:space="preserve">signing_entity_license_type</t>
  </si>
  <si>
    <t xml:space="preserve">单级选择（如：统一社会信用代码证等）</t>
  </si>
  <si>
    <t xml:space="preserve">签约主体证照号码</t>
  </si>
  <si>
    <t xml:space="preserve">signing_entity_license_no</t>
  </si>
  <si>
    <t xml:space="preserve">投资主体证照号码</t>
  </si>
  <si>
    <t xml:space="preserve">investor_license_no</t>
  </si>
  <si>
    <t xml:space="preserve">commencement_operation_type</t>
  </si>
  <si>
    <t xml:space="preserve">单级选择（如：新开工、开业等）</t>
  </si>
  <si>
    <t xml:space="preserve">commencement_operation_date</t>
  </si>
  <si>
    <t xml:space="preserve">开工/业时间</t>
  </si>
  <si>
    <t xml:space="preserve">实际竣工时间(发改)</t>
  </si>
  <si>
    <t xml:space="preserve">actual_completion_date_ndrc</t>
  </si>
  <si>
    <t xml:space="preserve">涉及的市直部门</t>
  </si>
  <si>
    <t xml:space="preserve">related_city_departments</t>
  </si>
  <si>
    <t xml:space="preserve">多选下拉/文本</t>
  </si>
  <si>
    <t xml:space="preserve">多级选择或文本框</t>
  </si>
  <si>
    <t xml:space="preserve">多选转逗号分隔字符串映射</t>
  </si>
  <si>
    <t xml:space="preserve">报送规范分类</t>
  </si>
  <si>
    <t xml:space="preserve">submission_specification_category</t>
  </si>
  <si>
    <t xml:space="preserve">是否上传企业类别佐证</t>
  </si>
  <si>
    <t xml:space="preserve">is_uploaded_enterprise_category_proof</t>
  </si>
  <si>
    <t xml:space="preserve">系统根据附件判定生成</t>
  </si>
  <si>
    <t xml:space="preserve">布尔值（是/否）映射</t>
  </si>
  <si>
    <t xml:space="preserve">字段选择器枚举值</t>
  </si>
  <si>
    <t xml:space="preserve">字段名称</t>
  </si>
  <si>
    <t xml:space="preserve">控件类型</t>
  </si>
  <si>
    <t xml:space="preserve">可选枚举值（全部选项）</t>
  </si>
  <si>
    <t xml:space="preserve">项目分类</t>
  </si>
  <si>
    <t xml:space="preserve">下拉框</t>
  </si>
  <si>
    <t xml:space="preserve">政策类、投资类、供地类、其他</t>
  </si>
  <si>
    <t xml:space="preserve">核心决策节点</t>
  </si>
  <si>
    <t xml:space="preserve">前置条件与联动控制：
1. 政策类：显示 投委会、常务会
2. 投资类：若投资金额 &gt; 5000万显示 国企投决会、投委会、常务会；否则不涉及/禁用
3. 供地类：显示 投委会、常务会、供地会
4. 其他类：隐藏/不涉及</t>
  </si>
  <si>
    <t xml:space="preserve">内外资</t>
  </si>
  <si>
    <t xml:space="preserve">内资、外资</t>
  </si>
  <si>
    <t xml:space="preserve">来源地</t>
  </si>
  <si>
    <t xml:space="preserve">单级选择（省份/地市/国家列表）</t>
  </si>
  <si>
    <t xml:space="preserve">产业类别</t>
  </si>
  <si>
    <t xml:space="preserve">农业、工业、服务业</t>
  </si>
  <si>
    <t xml:space="preserve">所属“五谷”优势产业集群</t>
  </si>
  <si>
    <t xml:space="preserve">光谷优势产业集群、车谷优势产业集群、网谷优势产业集群、星谷优势产业集群、药谷优势产业集群、不涉及</t>
  </si>
  <si>
    <t xml:space="preserve">所属片区</t>
  </si>
  <si>
    <t xml:space="preserve">临空港片区、阳逻港片区、不涉及</t>
  </si>
  <si>
    <t xml:space="preserve">建设性质</t>
  </si>
  <si>
    <t xml:space="preserve">固投开工类、开业营业类</t>
  </si>
  <si>
    <t xml:space="preserve">企业类别</t>
  </si>
  <si>
    <t xml:space="preserve">省级高新技术企业、国家级高新技术企业、国家级专精特新、省级专精特新、省级瞪羚企业、国家级瞪羚企业、金种子、省级独角兽独角兽、国家级独角兽企业、潜在独角兽、世界500强、中国500强、中国民营500强、中国服务业500强、国家级专精特新“小巨人”、省级专精特新“小巨人”、中国制造业500强、新经济500强、其它</t>
  </si>
  <si>
    <t xml:space="preserve">企业性质</t>
  </si>
  <si>
    <t xml:space="preserve">国企（央企）、国企（地方）、民企、外企（独资）、外企(合资或合伙)</t>
  </si>
  <si>
    <t xml:space="preserve">注册资本</t>
  </si>
  <si>
    <t xml:space="preserve">亿元、万元</t>
  </si>
  <si>
    <t xml:space="preserve">交办层级</t>
  </si>
  <si>
    <t xml:space="preserve">书记、市长、副市长、非领导交办、区主要领导、区分管领导、区投促局领导</t>
  </si>
  <si>
    <t xml:space="preserve">招商类型</t>
  </si>
  <si>
    <t xml:space="preserve">产业链招商、资本链招商（股权融资）、科创链招商、场景招商、央地合作、人才招引（楚商校友）、其它</t>
  </si>
  <si>
    <t xml:space="preserve">楚商类型</t>
  </si>
  <si>
    <t xml:space="preserve">湖北籍企业家、武汉校友、武大校友、华科校友、非楚商、泛楚商</t>
  </si>
  <si>
    <t xml:space="preserve">是否为存量企业</t>
  </si>
  <si>
    <t xml:space="preserve">单选</t>
  </si>
  <si>
    <t xml:space="preserve">是、否</t>
  </si>
  <si>
    <t xml:space="preserve">是否产业外溢</t>
  </si>
  <si>
    <t xml:space="preserve">是否“飞地园区”</t>
  </si>
  <si>
    <t xml:space="preserve">是否研判</t>
  </si>
  <si>
    <t xml:space="preserve">是否研发中心</t>
  </si>
  <si>
    <t xml:space="preserve">是否总部经济</t>
  </si>
  <si>
    <t xml:space="preserve">是否先进制造业</t>
  </si>
  <si>
    <t xml:space="preserve">一、行业类别级联关系</t>
  </si>
  <si>
    <t xml:space="preserve">一级行业类别</t>
  </si>
  <si>
    <t xml:space="preserve">二级行业类别数量</t>
  </si>
  <si>
    <t xml:space="preserve">二级行业类别选项（全部）</t>
  </si>
  <si>
    <t xml:space="preserve">民生保障类</t>
  </si>
  <si>
    <t xml:space="preserve">（无二级选项）</t>
  </si>
  <si>
    <t xml:space="preserve">基础设施建设类</t>
  </si>
  <si>
    <t xml:space="preserve">“光芯屏端网”新一代信息技术</t>
  </si>
  <si>
    <t xml:space="preserve">光通信、高性能集成电路、新型显示、未来显示、激光、信息通信设备及智能终端、大数据与云计算、先进半导体、其他</t>
  </si>
  <si>
    <t xml:space="preserve">软件和网络安全</t>
  </si>
  <si>
    <t xml:space="preserve">网络安全、未来网络、物联网、自主可控软件、软件信息服务、其他、数字经济、网游电竞、直播电竞</t>
  </si>
  <si>
    <t xml:space="preserve">量子科技</t>
  </si>
  <si>
    <t xml:space="preserve">光量子芯片与通信、量子感知、量子计算、其他</t>
  </si>
  <si>
    <t xml:space="preserve">高端装备</t>
  </si>
  <si>
    <t xml:space="preserve">3D打印与激光加工装备、海洋工程装备及高技术船舶、飞机装备制造、轨道交通装备、高端舰船制造、智能家居、其他、高速轨道交通</t>
  </si>
  <si>
    <t xml:space="preserve">大健康和生物技术</t>
  </si>
  <si>
    <t xml:space="preserve">生物医药、医疗器械、医药流通、健康服务、健康食品、生物制造、脑机接口、其他</t>
  </si>
  <si>
    <t xml:space="preserve">汽车制造和服务</t>
  </si>
  <si>
    <t xml:space="preserve">新能源汽车、智能出行(含无人驾驶和网联汽车)、关键零部件、新型储能电池、氢能、其他</t>
  </si>
  <si>
    <t xml:space="preserve">数字创意</t>
  </si>
  <si>
    <t xml:space="preserve">创意设计、网络文学、影视音乐、线上演播、动漫游戏、数字出版、元宇宙、其他</t>
  </si>
  <si>
    <t xml:space="preserve">深地深海深空</t>
  </si>
  <si>
    <t xml:space="preserve">地球深部勘探开发、深海装备、传感网络开发、深空对地探测、其他</t>
  </si>
  <si>
    <t xml:space="preserve">超级计算和人工智能</t>
  </si>
  <si>
    <t xml:space="preserve">高性能计算、操作系统、云服务和人工智能大模型、智能机器人、人形状机器人、虚拟现实、机器视觉、其他</t>
  </si>
  <si>
    <t xml:space="preserve">绿色环保</t>
  </si>
  <si>
    <t xml:space="preserve">高效节能、先进节能、资源循环利用、其他</t>
  </si>
  <si>
    <t xml:space="preserve">航空航天和空天信息</t>
  </si>
  <si>
    <t xml:space="preserve">其他、低空经济、北斗、地球空间信息应用服务、地球空间信息产品开发、地球空间信息平台建设、航空装备、航天装备</t>
  </si>
  <si>
    <t xml:space="preserve">电磁能</t>
  </si>
  <si>
    <t xml:space="preserve">电磁装备与制造、其他</t>
  </si>
  <si>
    <t xml:space="preserve">文化旅游</t>
  </si>
  <si>
    <t xml:space="preserve">文化、旅游、体育、教育、其他</t>
  </si>
  <si>
    <t xml:space="preserve">智能建造</t>
  </si>
  <si>
    <t xml:space="preserve">房建、市政、水利、公路、建筑服务、其他</t>
  </si>
  <si>
    <t xml:space="preserve">现代金融</t>
  </si>
  <si>
    <t xml:space="preserve">银行、保险、证券、保理、基金、其他</t>
  </si>
  <si>
    <t xml:space="preserve">商贸物流</t>
  </si>
  <si>
    <t xml:space="preserve">商务商贸、商务会展、商贸流通、电子商务、现代物流、航运物流、港口物流、其他</t>
  </si>
  <si>
    <t xml:space="preserve">新能源类</t>
  </si>
  <si>
    <t xml:space="preserve">海洋核能、光伏发电、风能、生物质能、其他</t>
  </si>
  <si>
    <t xml:space="preserve">新材料类</t>
  </si>
  <si>
    <t xml:space="preserve">新型功能材料、高性复合材料、先进基础材料、其他、未来新材料</t>
  </si>
  <si>
    <t xml:space="preserve">房地产</t>
  </si>
  <si>
    <t xml:space="preserve">总部楼宇、商业综合体、商业地产运营开发类、商住一体、特色小镇、纯住宅、康养地产、其他</t>
  </si>
  <si>
    <t xml:space="preserve">产业园</t>
  </si>
  <si>
    <t xml:space="preserve">工业产业园、科创产业园、特色产业园、其他</t>
  </si>
  <si>
    <t xml:space="preserve">石油化工类</t>
  </si>
  <si>
    <t xml:space="preserve">精细化工、石油工业、其他</t>
  </si>
  <si>
    <t xml:space="preserve">科创类</t>
  </si>
  <si>
    <t xml:space="preserve">科技服务、研发平台、其他</t>
  </si>
  <si>
    <t xml:space="preserve">现代农业</t>
  </si>
  <si>
    <t xml:space="preserve">农文旅、生态农业、其他</t>
  </si>
  <si>
    <t xml:space="preserve">其他类</t>
  </si>
  <si>
    <t xml:space="preserve">私人定制、PPP、其他</t>
  </si>
  <si>
    <t xml:space="preserve">二、965产业链类别级联关系</t>
  </si>
  <si>
    <t xml:space="preserve">一级产业链类别</t>
  </si>
  <si>
    <t xml:space="preserve">二级产业链类别数量</t>
  </si>
  <si>
    <t xml:space="preserve">二级产业链类别选项（全部）</t>
  </si>
  <si>
    <t xml:space="preserve">航空航天</t>
  </si>
  <si>
    <t xml:space="preserve">火箭及卫星研发制造、卫星星座建设运维、航空器研发及制造、航天电子设备、航空维修、其他</t>
  </si>
  <si>
    <t xml:space="preserve">合成生物</t>
  </si>
  <si>
    <t xml:space="preserve">细胞工程、酶制剂、新型食品、医药中间体、动植物保护药物、医美原料、其它</t>
  </si>
  <si>
    <t xml:space="preserve">低空经济</t>
  </si>
  <si>
    <t xml:space="preserve">低空飞行器制造、低空基础设施、低空运营服务、低空飞行保障、其他</t>
  </si>
  <si>
    <t xml:space="preserve">文化旅游和体育</t>
  </si>
  <si>
    <t xml:space="preserve">文旅资源开发、演艺经济、文旅产品开发、文旅消费场景、体育消费与赛事、其他</t>
  </si>
  <si>
    <t xml:space="preserve">科技服务</t>
  </si>
  <si>
    <t xml:space="preserve">研究开发、技术转移转化、企业孵化、技术推广、检验检测、知识产权、其他</t>
  </si>
  <si>
    <t xml:space="preserve">现代商贸</t>
  </si>
  <si>
    <t xml:space="preserve">新零售、直播电商、跨境电商、消费新业态、会展、其他</t>
  </si>
  <si>
    <t xml:space="preserve">银行、证券、保险、基金、第三方支付、其他</t>
  </si>
  <si>
    <t xml:space="preserve">高效节能、先进环保、资源循环利用、双碳服务、其他</t>
  </si>
  <si>
    <t xml:space="preserve">工程设计</t>
  </si>
  <si>
    <t xml:space="preserve">建筑设计、桥梁设计、高铁设计、市政设计、景观设计、工业工程设计、其他</t>
  </si>
  <si>
    <t xml:space="preserve">建筑工业化、智能施工装备、建筑信息化、新型建筑材料、其他</t>
  </si>
  <si>
    <t xml:space="preserve">氢能和新型储能</t>
  </si>
  <si>
    <t xml:space="preserve">氢能、锂离子电池、液流电池、钠离子电池、铅碳电池、超级电容器、压缩空气储能、其他</t>
  </si>
  <si>
    <t xml:space="preserve">新型显示</t>
  </si>
  <si>
    <t xml:space="preserve">OLED、Mini LED、Micro LED、硅基 OLED、量子点显示、全息显示、视网膜显示、激光显示、其他</t>
  </si>
  <si>
    <t xml:space="preserve">集成电路</t>
  </si>
  <si>
    <t xml:space="preserve">存储芯片、传感器、高端逻辑芯片、功率半导体、汽车芯片、光子芯片、射频芯片、其他</t>
  </si>
  <si>
    <t xml:space="preserve">现代物流</t>
  </si>
  <si>
    <t xml:space="preserve">物流设施、货运配送、多式联运、水上运输、航空运输、其他</t>
  </si>
  <si>
    <t xml:space="preserve">北斗</t>
  </si>
  <si>
    <t xml:space="preserve">高精度北斗芯片、北斗定位终端、北斗高精度地图、地理信息系统、时空数据采集、通导遥一体化、北斗+应用、其他</t>
  </si>
  <si>
    <t xml:space="preserve">智能机器人</t>
  </si>
  <si>
    <t xml:space="preserve">人形机器人、工业机器人、特种机器人、服务机器人、机器人部组件、其他</t>
  </si>
  <si>
    <t xml:space="preserve">人工智能</t>
  </si>
  <si>
    <t xml:space="preserve">人工智能基础设施、算法与大模型、软硬件产品、人工智能+应用、其他</t>
  </si>
  <si>
    <t xml:space="preserve">数据和网络安全</t>
  </si>
  <si>
    <t xml:space="preserve">计算存储、数据采集汇聚、数据标注、流通交易、开发利用、安全治理、信息安全、数据安全、内容安全、系统安全、信创安全、其他</t>
  </si>
  <si>
    <t xml:space="preserve">数字出版、网络游戏、电子竞技、广播电视和网络视听、互联网广告、其他</t>
  </si>
  <si>
    <t xml:space="preserve">飞轮储能、电磁能牵引控制系统、磁悬浮科技、船舶动力系统、其他</t>
  </si>
  <si>
    <t xml:space="preserve">未来网络</t>
  </si>
  <si>
    <t xml:space="preserve">6G、卫星互联网、量子通信网、其他</t>
  </si>
  <si>
    <t xml:space="preserve">光电子信息</t>
  </si>
  <si>
    <t xml:space="preserve">光子、智能终端、智能穿戴、移动通信、光电芯片、光电材料、光电收发、光电互联、光电处理、光电传感、其他</t>
  </si>
  <si>
    <t xml:space="preserve">新材料</t>
  </si>
  <si>
    <t xml:space="preserve">先进基础材料、关键战略材料、前沿新材料、其他</t>
  </si>
  <si>
    <t xml:space="preserve">汽车研发设计、整车及零部件制造、后市场服务、其他</t>
  </si>
  <si>
    <t xml:space="preserve">类脑科学与脑机接口</t>
  </si>
  <si>
    <t xml:space="preserve">脑机接口设备、类脑芯片与硬件、类脑感知、类脑算法、脑机接口应用产品、其他</t>
  </si>
  <si>
    <t xml:space="preserve">生命健康</t>
  </si>
  <si>
    <t xml:space="preserve">生物医药、医疗器械、医药流通、健康服务、健康食品、其他</t>
  </si>
  <si>
    <t xml:space="preserve">生物育种、设施农业、智慧农业、农产品精深加工、休闲农业、其他</t>
  </si>
  <si>
    <t xml:space="preserve">智能制造装备、绿色智能船舶、能源装备、深地深海深空装备、高端仪器、安全应急、其他</t>
  </si>
  <si>
    <t xml:space="preserve">量子精密测量、量子通信、量子计算、量子基础元器件、其他</t>
  </si>
  <si>
    <t xml:space="preserve">软件信息</t>
  </si>
  <si>
    <t xml:space="preserve">开源体系、基础软件、工业软件、应用软件、其他</t>
  </si>
  <si>
    <t xml:space="preserve">其它</t>
  </si>
  <si>
    <t xml:space="preserve">清洁能源、石油化工、房地产、产业园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</si>
</sst>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5"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 val="true"/>
      <sz val="10"/>
      <color rgb="FFFFFFFF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10"/>
      <color rgb="FF000000"/>
      <name val="Calibri"/>
      <family val="2"/>
    </font>
    <font>
      <strike val="true"/>
      <sz val="10"/>
      <color rgb="FF8F959E"/>
      <name val="Calibri"/>
      <family val="2"/>
    </font>
    <font>
      <b val="true"/>
      <strike val="true"/>
      <sz val="10"/>
      <color rgb="FF8F959E"/>
      <name val="Calibri"/>
      <family val="2"/>
    </font>
    <font>
      <sz val="10"/>
      <color rgb="FFF54A45"/>
      <name val="Calibri"/>
      <family val="2"/>
    </font>
    <font>
      <b val="true"/>
      <sz val="10"/>
      <color rgb="FF34C724"/>
      <name val="Calibri"/>
      <family val="2"/>
    </font>
    <font>
      <b val="true"/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monospace"/>
      <family val="2"/>
    </font>
    <font>
      <sz val="10"/>
      <color rgb="FF000000"/>
      <name val="monospace"/>
      <family val="2"/>
    </font>
    <font>
      <i val="true"/>
      <strike val="true"/>
      <sz val="10"/>
      <color rgb="FF8F959E"/>
      <name val="Calibri"/>
      <family val="2"/>
    </font>
    <font>
      <b val="true"/>
      <strike val="true"/>
      <sz val="10"/>
      <color rgb="FF8F959E"/>
      <name val="Calibri"/>
      <family val="2"/>
      <scheme val="minor"/>
    </font>
    <font>
      <strike val="true"/>
      <sz val="10"/>
      <color rgb="FF8F959E"/>
      <name val="Calibri"/>
      <family val="2"/>
      <scheme val="minor"/>
    </font>
    <font>
      <sz val="10"/>
      <color rgb="FF1F2329"/>
      <name val="Calibri"/>
      <family val="2"/>
    </font>
    <font>
      <b val="true"/>
      <sz val="10"/>
      <color rgb="FF1F2329"/>
      <name val="Calibri"/>
      <family val="2"/>
    </font>
    <font>
      <sz val="10"/>
      <color rgb="FF000000"/>
      <name val="Calibri"/>
      <family val="2"/>
      <scheme val="minor"/>
    </font>
    <font>
      <b val="true"/>
      <sz val="14"/>
      <color rgb="FFFFFFFF"/>
      <name val="微软雅黑"/>
      <family val="2"/>
    </font>
    <font>
      <b val="true"/>
      <sz val="11"/>
      <color rgb="FF1F2329"/>
      <name val="微软雅黑"/>
      <family val="2"/>
    </font>
    <font>
      <sz val="10"/>
      <color rgb="FF000000"/>
      <name val="微软雅黑"/>
      <family val="2"/>
    </font>
    <font>
      <sz val="11"/>
      <color rgb="FF000000"/>
      <name val="Calibri"/>
      <family val="2"/>
    </font>
  </fonts>
  <fills count="10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4E83FD"/>
        <bgColor/>
      </patternFill>
    </fill>
    <fill>
      <patternFill patternType="solid">
        <fgColor rgb="FFFF8800"/>
        <bgColor/>
      </patternFill>
    </fill>
    <fill>
      <patternFill patternType="solid">
        <fgColor rgb="FF6425D0"/>
        <bgColor/>
      </patternFill>
    </fill>
    <fill>
      <patternFill patternType="solid">
        <fgColor rgb="FF2EA121"/>
        <bgColor/>
      </patternFill>
    </fill>
    <fill>
      <patternFill patternType="solid">
        <fgColor rgb="FFFFF258"/>
        <bgColor/>
      </patternFill>
    </fill>
    <fill>
      <patternFill patternType="solid">
        <fgColor rgb="FFFFBA6B"/>
        <bgColor/>
      </patternFill>
    </fill>
    <fill>
      <patternFill patternType="solid">
        <fgColor rgb="FF4472C4"/>
        <bgColor/>
      </patternFill>
    </fill>
    <fill>
      <patternFill patternType="solid">
        <fgColor rgb="FFB4C7E7"/>
        <bgColor/>
      </patternFill>
    </fill>
  </fills>
  <borders count="4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2" numFmtId="0" xfId="0">
      <alignment horizontal="center" vertical="center" wrapText="true"/>
    </xf>
    <xf applyAlignment="true" applyBorder="false" applyFill="true" applyFont="true" applyNumberFormat="false" applyProtection="false" borderId="1" fillId="3" fontId="2" numFmtId="0" xfId="0">
      <alignment vertical="center" wrapText="true"/>
    </xf>
    <xf applyAlignment="true" applyBorder="false" applyFill="true" applyFont="true" applyNumberFormat="false" applyProtection="false" borderId="1" fillId="2" fontId="2" numFmtId="0" xfId="0">
      <alignment vertical="center" wrapText="true"/>
    </xf>
    <xf applyAlignment="true" applyBorder="false" applyFill="true" applyFont="true" applyNumberFormat="false" applyProtection="false" borderId="2" fillId="4" fontId="2" numFmtId="0" xfId="0">
      <alignment horizontal="center" vertical="center" wrapText="true"/>
    </xf>
    <xf applyAlignment="true" applyBorder="false" applyFill="true" applyFont="true" applyNumberFormat="false" applyProtection="false" borderId="1" fillId="4" fontId="2" numFmtId="0" xfId="0">
      <alignment horizontal="center" vertical="center" wrapText="true"/>
    </xf>
    <xf applyAlignment="true" applyBorder="false" applyFill="true" applyFont="true" applyNumberFormat="false" applyProtection="false" borderId="1" fillId="5" fontId="2" numFmtId="0" xfId="0">
      <alignment vertical="center" wrapText="true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false" applyProtection="false" borderId="1" fillId="6" fontId="3" numFmtId="0" xfId="0">
      <alignment horizontal="center" vertical="center" wrapText="true"/>
    </xf>
    <xf applyAlignment="true" applyBorder="false" applyFill="false" applyFont="true" applyNumberFormat="false" applyProtection="false" borderId="1" fillId="0" fontId="4" numFmtId="0" xfId="0">
      <alignment vertical="center" wrapText="true"/>
    </xf>
    <xf applyAlignment="true" applyBorder="false" applyFill="false" applyFont="true" applyNumberFormat="false" applyProtection="false" borderId="1" fillId="0" fontId="3" numFmtId="0" xfId="0">
      <alignment vertical="center" wrapText="true"/>
    </xf>
    <xf applyAlignment="true" applyBorder="false" applyFill="false" applyFont="true" applyNumberFormat="false" applyProtection="false" borderId="1" fillId="0" fontId="5" numFmtId="0" xfId="0">
      <alignment vertical="center" wrapText="true"/>
    </xf>
    <xf applyAlignment="true" applyBorder="false" applyFill="false" applyFont="true" applyNumberFormat="false" applyProtection="false" borderId="2" fillId="0" fontId="3" numFmtId="0" xfId="0">
      <alignment horizontal="center" vertical="center"/>
    </xf>
    <xf applyAlignment="true" applyBorder="false" applyFill="false" applyFont="true" applyNumberFormat="false" applyProtection="false" borderId="1" fillId="0" fontId="3" numFmtId="0" xfId="0">
      <alignment horizontal="center" vertical="center"/>
    </xf>
    <xf applyAlignment="true" applyBorder="false" applyFill="false" applyFont="true" applyNumberFormat="false" applyProtection="false" borderId="1" fillId="0" fontId="3" numFmtId="0" xfId="0">
      <alignment vertical="center"/>
    </xf>
    <xf applyAlignment="true" applyBorder="false" applyFill="false" applyFont="true" applyNumberFormat="false" applyProtection="false" borderId="1" fillId="0" fontId="6" numFmtId="0" xfId="0">
      <alignment horizontal="center" vertical="center" wrapText="true"/>
    </xf>
    <xf applyAlignment="true" applyBorder="false" applyFill="false" applyFont="true" applyNumberFormat="false" applyProtection="false" borderId="1" fillId="0" fontId="7" numFmtId="0" xfId="0">
      <alignment vertical="center" wrapText="true"/>
    </xf>
    <xf applyAlignment="true" applyBorder="false" applyFill="false" applyFont="true" applyNumberFormat="false" applyProtection="false" borderId="1" fillId="0" fontId="6" numFmtId="0" xfId="0">
      <alignment vertical="center" wrapText="true"/>
    </xf>
    <xf applyAlignment="true" applyBorder="false" applyFill="false" applyFont="true" applyNumberFormat="false" applyProtection="false" borderId="2" fillId="0" fontId="6" numFmtId="0" xfId="0">
      <alignment horizontal="center" vertical="center"/>
    </xf>
    <xf applyAlignment="true" applyBorder="false" applyFill="false" applyFont="true" applyNumberFormat="false" applyProtection="false" borderId="1" fillId="0" fontId="6" numFmtId="0" xfId="0">
      <alignment horizontal="center" vertical="center"/>
    </xf>
    <xf applyAlignment="true" applyBorder="false" applyFill="false" applyFont="true" applyNumberFormat="false" applyProtection="false" borderId="1" fillId="0" fontId="6" numFmtId="0" xfId="0">
      <alignment vertical="center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false" applyFont="true" applyNumberFormat="false" applyProtection="false" borderId="1" fillId="0" fontId="3" numFmtId="0" xfId="0">
      <alignment horizontal="center" vertical="center" wrapText="true"/>
    </xf>
    <xf applyAlignment="true" applyBorder="false" applyFill="false" applyFont="true" applyNumberFormat="false" applyProtection="false" borderId="1" fillId="0" fontId="8" numFmtId="0" xfId="0">
      <alignment vertical="center" wrapText="true"/>
    </xf>
    <xf applyAlignment="true" applyBorder="false" applyFill="false" applyFont="true" applyNumberFormat="false" applyProtection="false" borderId="1" fillId="0" fontId="9" numFmtId="0" xfId="0">
      <alignment vertical="center" wrapText="true"/>
    </xf>
    <xf applyAlignment="true" applyBorder="false" applyFill="false" applyFont="true" applyNumberFormat="false" applyProtection="false" borderId="1" fillId="0" fontId="13" numFmtId="0" xfId="0">
      <alignment vertical="center" wrapText="true"/>
    </xf>
    <xf applyAlignment="true" applyBorder="false" applyFill="true" applyFont="true" applyNumberFormat="false" applyProtection="false" borderId="1" fillId="6" fontId="3" numFmtId="0" xfId="0">
      <alignment horizontal="center" vertical="center"/>
    </xf>
    <xf applyAlignment="true" applyBorder="false" applyFill="false" applyFont="true" applyNumberFormat="false" applyProtection="false" borderId="1" fillId="0" fontId="4" numFmtId="0" xfId="0">
      <alignment vertical="center"/>
    </xf>
    <xf applyAlignment="true" applyBorder="false" applyFill="false" applyFont="true" applyNumberFormat="false" applyProtection="false" borderId="1" fillId="0" fontId="4" numFmtId="0" xfId="0">
      <alignment horizontal="center" vertical="center" wrapText="true"/>
    </xf>
    <xf applyAlignment="true" applyBorder="false" applyFill="true" applyFont="true" applyNumberFormat="false" applyProtection="false" borderId="1" fillId="7" fontId="4" numFmtId="0" xfId="0">
      <alignment horizontal="center" vertical="center" wrapText="true"/>
    </xf>
    <xf applyAlignment="true" applyBorder="false" applyFill="false" applyFont="true" applyNumberFormat="false" applyProtection="false" borderId="1" fillId="0" fontId="15" numFmtId="0" xfId="0">
      <alignment vertical="center" wrapText="true"/>
    </xf>
    <xf applyAlignment="true" applyBorder="false" applyFill="true" applyFont="true" applyNumberFormat="false" applyProtection="false" borderId="1" fillId="7" fontId="4" numFmtId="0" xfId="0">
      <alignment vertical="center" wrapText="true"/>
    </xf>
    <xf applyAlignment="true" applyBorder="false" applyFill="false" applyFont="true" applyNumberFormat="false" applyProtection="false" borderId="1" fillId="0" fontId="8" numFmtId="0" xfId="0">
      <alignment vertical="center"/>
    </xf>
    <xf applyAlignment="true" applyBorder="false" applyFill="false" applyFont="true" applyNumberFormat="false" applyProtection="false" borderId="1" fillId="0" fontId="18" numFmtId="0" xfId="0">
      <alignment horizontal="center" vertical="center" wrapText="true"/>
    </xf>
    <xf applyAlignment="true" applyBorder="false" applyFill="false" applyFont="true" applyNumberFormat="false" applyProtection="false" borderId="1" fillId="0" fontId="19" numFmtId="0" xfId="0">
      <alignment vertical="center"/>
    </xf>
    <xf applyAlignment="true" applyBorder="false" applyFill="false" applyFont="true" applyNumberFormat="false" applyProtection="false" borderId="1" fillId="0" fontId="18" numFmtId="0" xfId="0">
      <alignment vertical="center"/>
    </xf>
    <xf applyAlignment="true" applyBorder="false" applyFill="false" applyFont="true" applyNumberFormat="false" applyProtection="false" borderId="2" fillId="0" fontId="18" numFmtId="0" xfId="0">
      <alignment horizontal="center" vertical="center"/>
    </xf>
    <xf applyAlignment="true" applyBorder="false" applyFill="false" applyFont="true" applyNumberFormat="false" applyProtection="false" borderId="1" fillId="0" fontId="18" numFmtId="0" xfId="0">
      <alignment horizontal="center" vertical="center"/>
    </xf>
    <xf applyAlignment="true" applyBorder="false" applyFill="false" applyFont="true" applyNumberFormat="false" applyProtection="false" borderId="0" fillId="0" fontId="18" numFmtId="0" xfId="0">
      <alignment vertical="center"/>
    </xf>
    <xf applyAlignment="true" applyBorder="false" applyFill="false" applyFont="true" applyNumberFormat="false" applyProtection="false" borderId="1" fillId="0" fontId="7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20" numFmtId="0" xfId="0">
      <alignment horizontal="center" vertical="center"/>
    </xf>
    <xf applyAlignment="true" applyBorder="false" applyFill="true" applyFont="true" applyNumberFormat="false" applyProtection="false" borderId="3" fillId="8" fontId="21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false" applyProtection="false" borderId="3" fillId="9" fontId="22" numFmtId="0" xfId="0">
      <alignment horizontal="center" vertical="center"/>
    </xf>
    <xf applyAlignment="true" applyBorder="false" applyFill="false" applyFont="true" applyNumberFormat="false" applyProtection="false" borderId="3" fillId="0" fontId="23" numFmtId="0" xfId="0">
      <alignment horizontal="left" vertical="center" wrapText="true"/>
    </xf>
    <xf applyAlignment="true" applyBorder="false" applyFill="false" applyFont="true" applyNumberFormat="false" applyProtection="false" borderId="3" fillId="0" fontId="24" numFmtId="0" xfId="0">
      <alignment vertical="center"/>
    </xf>
    <xf applyAlignment="true" applyBorder="false" applyFill="false" applyFont="true" applyNumberFormat="false" applyProtection="false" borderId="0" fillId="0" fontId="24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D4" xSplit="3" ySplit="3"/>
    </sheetView>
  </sheetViews>
  <sheetFormatPr defaultColWidth="11" defaultRowHeight="16"/>
  <cols>
    <col collapsed="false" customWidth="true" hidden="false" max="8" min="8" style="0" width="13"/>
    <col collapsed="false" customWidth="true" hidden="false" max="12" min="12" style="0" width="11"/>
    <col collapsed="false" customWidth="true" hidden="false" max="16" min="16" style="0" width="11"/>
    <col collapsed="false" customWidth="true" hidden="false" max="20" min="20" style="0" width="11"/>
    <col collapsed="false" customWidth="true" hidden="false" max="4" min="4" style="0" width="20"/>
    <col collapsed="false" customWidth="true" hidden="false" max="5" min="5" style="0" width="14"/>
    <col collapsed="false" customWidth="true" hidden="false" max="9" min="9" style="0" width="19"/>
    <col collapsed="false" customWidth="true" hidden="false" max="13" min="13" style="0" width="28"/>
    <col collapsed="false" customWidth="true" hidden="false" max="17" min="17" style="0" width="11"/>
    <col collapsed="false" customWidth="true" hidden="false" max="1" min="1" style="0" width="6"/>
    <col collapsed="false" customWidth="true" hidden="false" max="6" min="6" style="0" width="25"/>
    <col collapsed="false" customWidth="true" hidden="false" max="10" min="10" style="0" width="57"/>
    <col collapsed="false" customWidth="true" hidden="false" max="14" min="14" style="0" width="11"/>
    <col collapsed="false" customWidth="true" hidden="false" max="18" min="18" style="0" width="11"/>
    <col collapsed="false" customWidth="true" hidden="false" max="2" min="2" style="0" width="16"/>
    <col collapsed="false" customWidth="true" hidden="false" max="7" min="7" style="0" width="20"/>
    <col collapsed="false" customWidth="true" hidden="false" max="11" min="11" style="0" width="14"/>
    <col collapsed="false" customWidth="true" hidden="false" max="15" min="15" style="0" width="11"/>
    <col collapsed="false" customWidth="true" hidden="false" max="19" min="19" style="0" width="11"/>
    <col collapsed="false" customWidth="true" hidden="false" max="3" min="3" style="0" width="27"/>
  </cols>
  <sheetData>
    <row r="1">
      <c r="A1" s="1" t="s">
        <v>1</v>
      </c>
      <c r="B1" s="2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2" t="s">
        <v>8</v>
      </c>
      <c r="I1" s="3" t="s">
        <v>9</v>
      </c>
      <c r="J1" s="3" t="s">
        <v>10</v>
      </c>
      <c r="K1" s="4" t="s">
        <v>11</v>
      </c>
      <c r="L1" s="5" t="s">
        <v>12</v>
      </c>
      <c r="M1" s="6" t="s">
        <v>13</v>
      </c>
      <c r="N1" s="7"/>
    </row>
    <row r="2">
      <c r="A2" s="8" t="s">
        <v>14</v>
      </c>
      <c r="B2" s="9"/>
      <c r="C2" s="9"/>
      <c r="D2" s="10"/>
      <c r="E2" s="10"/>
      <c r="F2" s="10"/>
      <c r="G2" s="10"/>
      <c r="H2" s="9"/>
      <c r="I2" s="11"/>
      <c r="J2" s="10"/>
      <c r="K2" s="12"/>
      <c r="L2" s="13"/>
      <c r="M2" s="14"/>
      <c r="N2" s="7"/>
    </row>
    <row r="3">
      <c r="A3" s="15">
        <f t="shared" ref="A3:A60" si="0">ROW(A3)-2</f>
      </c>
      <c r="B3" s="16" t="s">
        <v>15</v>
      </c>
      <c r="C3" s="16" t="s">
        <v>16</v>
      </c>
      <c r="D3" s="17" t="s">
        <v>17</v>
      </c>
      <c r="E3" s="17" t="s">
        <v>18</v>
      </c>
      <c r="F3" s="17" t="s">
        <v>19</v>
      </c>
      <c r="G3" s="16" t="s">
        <v>20</v>
      </c>
      <c r="H3" s="16" t="s">
        <v>21</v>
      </c>
      <c r="I3" s="17" t="s">
        <v>16</v>
      </c>
      <c r="J3" s="17" t="s">
        <v>22</v>
      </c>
      <c r="K3" s="18"/>
      <c r="L3" s="19"/>
      <c r="M3" s="20" t="s">
        <v>23</v>
      </c>
      <c r="N3" s="21"/>
      <c r="O3" s="21"/>
      <c r="P3" s="21"/>
      <c r="Q3" s="21"/>
      <c r="R3" s="21"/>
    </row>
    <row r="4">
      <c r="A4" s="15">
        <f t="shared" si="0"/>
      </c>
      <c r="B4" s="16" t="s">
        <v>24</v>
      </c>
      <c r="C4" s="16" t="s">
        <v>25</v>
      </c>
      <c r="D4" s="17" t="s">
        <v>26</v>
      </c>
      <c r="E4" s="17" t="s">
        <v>18</v>
      </c>
      <c r="F4" s="17" t="s">
        <v>27</v>
      </c>
      <c r="G4" s="17" t="s">
        <v>28</v>
      </c>
      <c r="H4" s="16" t="s">
        <v>21</v>
      </c>
      <c r="I4" s="17" t="s">
        <v>25</v>
      </c>
      <c r="J4" s="17" t="s">
        <v>29</v>
      </c>
      <c r="K4" s="18"/>
      <c r="L4" s="19"/>
      <c r="M4" s="20" t="s">
        <v>30</v>
      </c>
      <c r="N4" s="21"/>
      <c r="O4" s="21"/>
      <c r="P4" s="21"/>
      <c r="Q4" s="21"/>
      <c r="R4" s="21"/>
    </row>
    <row r="5">
      <c r="A5" s="15">
        <f t="shared" si="0"/>
      </c>
      <c r="B5" s="16" t="s">
        <v>15</v>
      </c>
      <c r="C5" s="16" t="s">
        <v>31</v>
      </c>
      <c r="D5" s="17" t="s">
        <v>32</v>
      </c>
      <c r="E5" s="17" t="s">
        <v>18</v>
      </c>
      <c r="F5" s="17" t="s">
        <v>33</v>
      </c>
      <c r="G5" s="17" t="s">
        <v>28</v>
      </c>
      <c r="H5" s="16" t="s">
        <v>21</v>
      </c>
      <c r="I5" s="17" t="s">
        <v>31</v>
      </c>
      <c r="J5" s="17" t="s">
        <v>29</v>
      </c>
      <c r="K5" s="18"/>
      <c r="L5" s="19"/>
      <c r="M5" s="20" t="s">
        <v>30</v>
      </c>
      <c r="N5" s="21"/>
      <c r="O5" s="21"/>
      <c r="P5" s="21"/>
      <c r="Q5" s="21"/>
      <c r="R5" s="21"/>
    </row>
    <row r="6">
      <c r="A6" s="15">
        <f t="shared" si="0"/>
      </c>
      <c r="B6" s="16" t="s">
        <v>15</v>
      </c>
      <c r="C6" s="16" t="s">
        <v>34</v>
      </c>
      <c r="D6" s="17" t="s">
        <v>35</v>
      </c>
      <c r="E6" s="17" t="s">
        <v>18</v>
      </c>
      <c r="F6" s="17" t="s">
        <v>33</v>
      </c>
      <c r="G6" s="17" t="s">
        <v>28</v>
      </c>
      <c r="H6" s="16" t="s">
        <v>21</v>
      </c>
      <c r="I6" s="17" t="s">
        <v>34</v>
      </c>
      <c r="J6" s="17" t="s">
        <v>29</v>
      </c>
      <c r="K6" s="18"/>
      <c r="L6" s="19"/>
      <c r="M6" s="20" t="s">
        <v>30</v>
      </c>
      <c r="N6" s="21"/>
      <c r="O6" s="21"/>
      <c r="P6" s="21"/>
      <c r="Q6" s="21"/>
      <c r="R6" s="21"/>
    </row>
    <row r="7">
      <c r="A7" s="15">
        <f t="shared" si="0"/>
      </c>
      <c r="B7" s="16" t="s">
        <v>15</v>
      </c>
      <c r="C7" s="16" t="s">
        <v>36</v>
      </c>
      <c r="D7" s="17" t="s">
        <v>37</v>
      </c>
      <c r="E7" s="17" t="s">
        <v>38</v>
      </c>
      <c r="F7" s="17" t="s">
        <v>39</v>
      </c>
      <c r="G7" s="17" t="s">
        <v>28</v>
      </c>
      <c r="H7" s="16" t="s">
        <v>21</v>
      </c>
      <c r="I7" s="17" t="s">
        <v>36</v>
      </c>
      <c r="J7" s="17" t="s">
        <v>40</v>
      </c>
      <c r="K7" s="18"/>
      <c r="L7" s="19"/>
      <c r="M7" s="20" t="s">
        <v>30</v>
      </c>
      <c r="N7" s="21"/>
      <c r="O7" s="21"/>
      <c r="P7" s="21"/>
      <c r="Q7" s="21"/>
      <c r="R7" s="21"/>
    </row>
    <row r="8">
      <c r="A8" s="15">
        <f t="shared" si="0"/>
      </c>
      <c r="B8" s="16" t="s">
        <v>24</v>
      </c>
      <c r="C8" s="16" t="s">
        <v>41</v>
      </c>
      <c r="D8" s="17" t="s">
        <v>42</v>
      </c>
      <c r="E8" s="17" t="s">
        <v>43</v>
      </c>
      <c r="F8" s="17" t="s">
        <v>44</v>
      </c>
      <c r="G8" s="17" t="s">
        <v>28</v>
      </c>
      <c r="H8" s="16" t="s">
        <v>21</v>
      </c>
      <c r="I8" s="17" t="s">
        <v>41</v>
      </c>
      <c r="J8" s="17" t="s">
        <v>40</v>
      </c>
      <c r="K8" s="18"/>
      <c r="L8" s="19"/>
      <c r="M8" s="20" t="s">
        <v>30</v>
      </c>
      <c r="N8" s="21"/>
      <c r="O8" s="21"/>
      <c r="P8" s="21"/>
      <c r="Q8" s="21"/>
      <c r="R8" s="21"/>
    </row>
    <row r="9">
      <c r="A9" s="15">
        <f t="shared" si="0"/>
      </c>
      <c r="B9" s="16" t="s">
        <v>24</v>
      </c>
      <c r="C9" s="16" t="s">
        <v>45</v>
      </c>
      <c r="D9" s="17" t="s">
        <v>46</v>
      </c>
      <c r="E9" s="17" t="s">
        <v>47</v>
      </c>
      <c r="F9" s="17" t="s">
        <v>48</v>
      </c>
      <c r="G9" s="17" t="s">
        <v>28</v>
      </c>
      <c r="H9" s="16" t="s">
        <v>21</v>
      </c>
      <c r="I9" s="17" t="s">
        <v>45</v>
      </c>
      <c r="J9" s="17" t="s">
        <v>29</v>
      </c>
      <c r="K9" s="18"/>
      <c r="L9" s="19"/>
      <c r="M9" s="20" t="s">
        <v>30</v>
      </c>
      <c r="N9" s="21"/>
      <c r="O9" s="21"/>
      <c r="P9" s="21"/>
      <c r="Q9" s="21"/>
      <c r="R9" s="21"/>
    </row>
    <row r="10">
      <c r="A10" s="15">
        <f t="shared" si="0"/>
      </c>
      <c r="B10" s="16" t="s">
        <v>15</v>
      </c>
      <c r="C10" s="16" t="s">
        <v>49</v>
      </c>
      <c r="D10" s="17" t="s">
        <v>50</v>
      </c>
      <c r="E10" s="17" t="s">
        <v>18</v>
      </c>
      <c r="F10" s="17" t="s">
        <v>51</v>
      </c>
      <c r="G10" s="16" t="s">
        <v>52</v>
      </c>
      <c r="H10" s="16" t="s">
        <v>21</v>
      </c>
      <c r="I10" s="17" t="s">
        <v>49</v>
      </c>
      <c r="J10" s="17" t="s">
        <v>53</v>
      </c>
      <c r="K10" s="18"/>
      <c r="L10" s="19"/>
      <c r="M10" s="20" t="s">
        <v>30</v>
      </c>
      <c r="N10" s="21"/>
      <c r="O10" s="21"/>
      <c r="P10" s="21"/>
      <c r="Q10" s="21"/>
      <c r="R10" s="21"/>
    </row>
    <row r="11">
      <c r="A11" s="22">
        <f t="shared" si="0"/>
      </c>
      <c r="B11" s="9" t="s">
        <v>15</v>
      </c>
      <c r="C11" s="9" t="s">
        <v>54</v>
      </c>
      <c r="D11" s="10" t="s">
        <v>55</v>
      </c>
      <c r="E11" s="10" t="s">
        <v>56</v>
      </c>
      <c r="F11" s="23" t="s">
        <v>57</v>
      </c>
      <c r="G11" s="9" t="s">
        <v>58</v>
      </c>
      <c r="H11" s="9" t="s">
        <v>59</v>
      </c>
      <c r="I11" s="10" t="s">
        <v>54</v>
      </c>
      <c r="J11" s="10" t="s">
        <v>60</v>
      </c>
      <c r="K11" s="12"/>
      <c r="L11" s="13"/>
      <c r="M11" s="14"/>
      <c r="N11" s="7"/>
    </row>
    <row r="12">
      <c r="A12" s="22">
        <f t="shared" si="0"/>
      </c>
      <c r="B12" s="9" t="s">
        <v>15</v>
      </c>
      <c r="C12" s="9" t="s">
        <v>61</v>
      </c>
      <c r="D12" s="10" t="s">
        <v>62</v>
      </c>
      <c r="E12" s="10" t="s">
        <v>63</v>
      </c>
      <c r="F12" s="10" t="s">
        <v>64</v>
      </c>
      <c r="G12" s="9" t="s">
        <v>52</v>
      </c>
      <c r="H12" s="9" t="s">
        <v>59</v>
      </c>
      <c r="I12" s="10" t="s">
        <v>61</v>
      </c>
      <c r="J12" s="10" t="s">
        <v>65</v>
      </c>
      <c r="K12" s="12"/>
      <c r="L12" s="13"/>
      <c r="M12" s="14"/>
      <c r="N12" s="7"/>
    </row>
    <row r="13">
      <c r="A13" s="22">
        <f t="shared" si="0"/>
      </c>
      <c r="B13" s="9" t="s">
        <v>15</v>
      </c>
      <c r="C13" s="9" t="s">
        <v>66</v>
      </c>
      <c r="D13" s="10" t="s">
        <v>67</v>
      </c>
      <c r="E13" s="10" t="s">
        <v>68</v>
      </c>
      <c r="F13" s="10" t="s">
        <v>44</v>
      </c>
      <c r="G13" s="10" t="s">
        <v>28</v>
      </c>
      <c r="H13" s="9" t="s">
        <v>59</v>
      </c>
      <c r="I13" s="10" t="s">
        <v>66</v>
      </c>
      <c r="J13" s="10" t="s">
        <v>40</v>
      </c>
      <c r="K13" s="12"/>
      <c r="L13" s="13"/>
      <c r="M13" s="14"/>
      <c r="N13" s="7"/>
    </row>
    <row r="14">
      <c r="A14" s="22">
        <f t="shared" si="0"/>
      </c>
      <c r="B14" s="9" t="s">
        <v>15</v>
      </c>
      <c r="C14" s="9" t="s">
        <v>69</v>
      </c>
      <c r="D14" s="10" t="s">
        <v>70</v>
      </c>
      <c r="E14" s="10" t="s">
        <v>43</v>
      </c>
      <c r="F14" s="10" t="s">
        <v>71</v>
      </c>
      <c r="G14" s="9" t="s">
        <v>72</v>
      </c>
      <c r="H14" s="9" t="s">
        <v>59</v>
      </c>
      <c r="I14" s="10" t="s">
        <v>69</v>
      </c>
      <c r="J14" s="10" t="s">
        <v>73</v>
      </c>
      <c r="K14" s="12"/>
      <c r="L14" s="13"/>
      <c r="M14" s="14"/>
      <c r="N14" s="7"/>
    </row>
    <row r="15">
      <c r="A15" s="22">
        <f t="shared" si="0"/>
      </c>
      <c r="B15" s="16" t="s">
        <v>15</v>
      </c>
      <c r="C15" s="16" t="s">
        <v>74</v>
      </c>
      <c r="D15" s="17" t="s">
        <v>75</v>
      </c>
      <c r="E15" s="17" t="s">
        <v>18</v>
      </c>
      <c r="F15" s="17" t="s">
        <v>76</v>
      </c>
      <c r="G15" s="16" t="s">
        <v>52</v>
      </c>
      <c r="H15" s="16" t="s">
        <v>59</v>
      </c>
      <c r="I15" s="17" t="s">
        <v>74</v>
      </c>
      <c r="J15" s="17" t="s">
        <v>77</v>
      </c>
      <c r="K15" s="18"/>
      <c r="L15" s="19"/>
      <c r="M15" s="20"/>
      <c r="N15" s="21"/>
      <c r="O15" s="21"/>
      <c r="P15" s="21"/>
      <c r="Q15" s="21"/>
      <c r="R15" s="21"/>
    </row>
    <row r="16">
      <c r="A16" s="22">
        <f t="shared" si="0"/>
      </c>
      <c r="B16" s="16" t="s">
        <v>78</v>
      </c>
      <c r="C16" s="16" t="s">
        <v>79</v>
      </c>
      <c r="D16" s="17" t="s">
        <v>80</v>
      </c>
      <c r="E16" s="17" t="s">
        <v>81</v>
      </c>
      <c r="F16" s="17" t="s">
        <v>82</v>
      </c>
      <c r="G16" s="17" t="s">
        <v>28</v>
      </c>
      <c r="H16" s="16" t="s">
        <v>59</v>
      </c>
      <c r="I16" s="17" t="s">
        <v>79</v>
      </c>
      <c r="J16" s="17" t="s">
        <v>83</v>
      </c>
      <c r="K16" s="18"/>
      <c r="L16" s="19"/>
      <c r="M16" s="20"/>
      <c r="N16" s="21"/>
      <c r="O16" s="21"/>
      <c r="P16" s="21"/>
      <c r="Q16" s="21"/>
      <c r="R16" s="21"/>
    </row>
    <row r="17">
      <c r="A17" s="22">
        <f t="shared" si="0"/>
      </c>
      <c r="B17" s="9" t="s">
        <v>15</v>
      </c>
      <c r="C17" s="9" t="s">
        <v>84</v>
      </c>
      <c r="D17" s="10" t="s">
        <v>85</v>
      </c>
      <c r="E17" s="10" t="s">
        <v>68</v>
      </c>
      <c r="F17" s="10" t="s">
        <v>86</v>
      </c>
      <c r="G17" s="9" t="s">
        <v>72</v>
      </c>
      <c r="H17" s="9" t="s">
        <v>59</v>
      </c>
      <c r="I17" s="10" t="s">
        <v>84</v>
      </c>
      <c r="J17" s="10" t="s">
        <v>40</v>
      </c>
      <c r="K17" s="12"/>
      <c r="L17" s="13"/>
      <c r="M17" s="14"/>
      <c r="N17" s="7"/>
    </row>
    <row r="18">
      <c r="A18" s="22">
        <f t="shared" si="0"/>
      </c>
      <c r="B18" s="9" t="s">
        <v>87</v>
      </c>
      <c r="C18" s="9" t="s">
        <v>88</v>
      </c>
      <c r="D18" s="10" t="s">
        <v>89</v>
      </c>
      <c r="E18" s="10" t="s">
        <v>68</v>
      </c>
      <c r="F18" s="10" t="s">
        <v>90</v>
      </c>
      <c r="G18" s="10" t="s">
        <v>28</v>
      </c>
      <c r="H18" s="9" t="s">
        <v>59</v>
      </c>
      <c r="I18" s="10" t="s">
        <v>88</v>
      </c>
      <c r="J18" s="10" t="s">
        <v>40</v>
      </c>
      <c r="K18" s="12"/>
      <c r="L18" s="13"/>
      <c r="M18" s="14"/>
      <c r="N18" s="7"/>
    </row>
    <row r="19">
      <c r="A19" s="22">
        <f t="shared" si="0"/>
      </c>
      <c r="B19" s="9" t="s">
        <v>15</v>
      </c>
      <c r="C19" s="24" t="s">
        <v>91</v>
      </c>
      <c r="D19" s="10" t="s">
        <v>92</v>
      </c>
      <c r="E19" s="10" t="s">
        <v>18</v>
      </c>
      <c r="F19" s="10" t="s">
        <v>93</v>
      </c>
      <c r="G19" s="10" t="s">
        <v>94</v>
      </c>
      <c r="H19" s="9" t="s">
        <v>21</v>
      </c>
      <c r="I19" s="11" t="s">
        <v>95</v>
      </c>
      <c r="J19" s="10" t="s">
        <v>96</v>
      </c>
      <c r="K19" s="12"/>
      <c r="L19" s="13"/>
      <c r="M19" s="14"/>
      <c r="N19" s="7"/>
    </row>
    <row r="20">
      <c r="A20" s="22">
        <f t="shared" si="0"/>
      </c>
      <c r="B20" s="9" t="s">
        <v>14</v>
      </c>
      <c r="C20" s="24" t="s">
        <v>97</v>
      </c>
      <c r="D20" s="10" t="s">
        <v>98</v>
      </c>
      <c r="E20" s="10" t="s">
        <v>99</v>
      </c>
      <c r="F20" s="10" t="s">
        <v>100</v>
      </c>
      <c r="G20" s="10" t="s">
        <v>101</v>
      </c>
      <c r="H20" s="9" t="s">
        <v>21</v>
      </c>
      <c r="I20" s="11" t="s">
        <v>95</v>
      </c>
      <c r="J20" s="10" t="s">
        <v>102</v>
      </c>
      <c r="K20" s="12"/>
      <c r="L20" s="13"/>
      <c r="M20" s="14"/>
      <c r="N20" s="7"/>
    </row>
    <row r="21">
      <c r="A21" s="22">
        <f t="shared" si="0"/>
      </c>
      <c r="B21" s="9" t="s">
        <v>87</v>
      </c>
      <c r="C21" s="9" t="s">
        <v>103</v>
      </c>
      <c r="D21" s="10" t="s">
        <v>104</v>
      </c>
      <c r="E21" s="10" t="s">
        <v>105</v>
      </c>
      <c r="F21" s="10" t="s">
        <v>106</v>
      </c>
      <c r="G21" s="10" t="s">
        <v>28</v>
      </c>
      <c r="H21" s="9" t="s">
        <v>59</v>
      </c>
      <c r="I21" s="10" t="s">
        <v>107</v>
      </c>
      <c r="J21" s="10" t="s">
        <v>108</v>
      </c>
      <c r="K21" s="12"/>
      <c r="L21" s="13"/>
      <c r="M21" s="14"/>
      <c r="N21" s="7"/>
    </row>
    <row r="22">
      <c r="A22" s="22">
        <f t="shared" si="0"/>
      </c>
      <c r="B22" s="9" t="s">
        <v>15</v>
      </c>
      <c r="C22" s="9" t="s">
        <v>109</v>
      </c>
      <c r="D22" s="10" t="s">
        <v>110</v>
      </c>
      <c r="E22" s="10" t="s">
        <v>18</v>
      </c>
      <c r="F22" s="10" t="s">
        <v>111</v>
      </c>
      <c r="G22" s="9" t="s">
        <v>72</v>
      </c>
      <c r="H22" s="9" t="s">
        <v>112</v>
      </c>
      <c r="I22" s="10" t="s">
        <v>109</v>
      </c>
      <c r="J22" s="10" t="s">
        <v>113</v>
      </c>
      <c r="K22" s="12"/>
      <c r="L22" s="13"/>
      <c r="M22" s="14"/>
      <c r="N22" s="7"/>
    </row>
    <row r="23">
      <c r="A23" s="22">
        <f t="shared" si="0"/>
      </c>
      <c r="B23" s="9" t="s">
        <v>15</v>
      </c>
      <c r="C23" s="9" t="s">
        <v>114</v>
      </c>
      <c r="D23" s="10" t="s">
        <v>115</v>
      </c>
      <c r="E23" s="10" t="s">
        <v>18</v>
      </c>
      <c r="F23" s="10" t="s">
        <v>116</v>
      </c>
      <c r="G23" s="9" t="s">
        <v>72</v>
      </c>
      <c r="H23" s="9" t="s">
        <v>59</v>
      </c>
      <c r="I23" s="10" t="s">
        <v>114</v>
      </c>
      <c r="J23" s="10" t="s">
        <v>29</v>
      </c>
      <c r="K23" s="12"/>
      <c r="L23" s="13"/>
      <c r="M23" s="14"/>
      <c r="N23" s="7"/>
    </row>
    <row r="24">
      <c r="A24" s="22">
        <f t="shared" si="0"/>
      </c>
      <c r="B24" s="9" t="s">
        <v>15</v>
      </c>
      <c r="C24" s="9" t="s">
        <v>117</v>
      </c>
      <c r="D24" s="10" t="s">
        <v>118</v>
      </c>
      <c r="E24" s="10" t="s">
        <v>18</v>
      </c>
      <c r="F24" s="10" t="s">
        <v>119</v>
      </c>
      <c r="G24" s="9" t="s">
        <v>72</v>
      </c>
      <c r="H24" s="9" t="s">
        <v>59</v>
      </c>
      <c r="I24" s="10" t="s">
        <v>117</v>
      </c>
      <c r="J24" s="10" t="s">
        <v>120</v>
      </c>
      <c r="K24" s="12"/>
      <c r="L24" s="13"/>
      <c r="M24" s="14"/>
      <c r="N24" s="7"/>
    </row>
    <row r="25">
      <c r="A25" s="22">
        <f t="shared" si="0"/>
      </c>
      <c r="B25" s="9" t="s">
        <v>15</v>
      </c>
      <c r="C25" s="9" t="s">
        <v>121</v>
      </c>
      <c r="D25" s="10" t="s">
        <v>122</v>
      </c>
      <c r="E25" s="10" t="s">
        <v>123</v>
      </c>
      <c r="F25" s="10" t="s">
        <v>124</v>
      </c>
      <c r="G25" s="10" t="s">
        <v>125</v>
      </c>
      <c r="H25" s="9" t="s">
        <v>59</v>
      </c>
      <c r="I25" s="10" t="s">
        <v>121</v>
      </c>
      <c r="J25" s="10" t="s">
        <v>126</v>
      </c>
      <c r="K25" s="12"/>
      <c r="L25" s="13"/>
      <c r="M25" s="14"/>
      <c r="N25" s="7"/>
    </row>
    <row r="26">
      <c r="A26" s="22">
        <f t="shared" si="0"/>
      </c>
      <c r="B26" s="9" t="s">
        <v>15</v>
      </c>
      <c r="C26" s="9" t="s">
        <v>127</v>
      </c>
      <c r="D26" s="10" t="s">
        <v>128</v>
      </c>
      <c r="E26" s="10" t="s">
        <v>18</v>
      </c>
      <c r="F26" s="10" t="s">
        <v>129</v>
      </c>
      <c r="G26" s="10" t="s">
        <v>130</v>
      </c>
      <c r="H26" s="9" t="s">
        <v>59</v>
      </c>
      <c r="I26" s="10" t="s">
        <v>127</v>
      </c>
      <c r="J26" s="10" t="s">
        <v>131</v>
      </c>
      <c r="K26" s="12"/>
      <c r="L26" s="13"/>
      <c r="M26" s="14"/>
      <c r="N26" s="7"/>
    </row>
    <row r="27">
      <c r="A27" s="22">
        <f t="shared" si="0"/>
      </c>
      <c r="B27" s="9" t="s">
        <v>15</v>
      </c>
      <c r="C27" s="9" t="s">
        <v>132</v>
      </c>
      <c r="D27" s="10" t="s">
        <v>133</v>
      </c>
      <c r="E27" s="10" t="s">
        <v>68</v>
      </c>
      <c r="F27" s="10" t="s">
        <v>134</v>
      </c>
      <c r="G27" s="10" t="s">
        <v>135</v>
      </c>
      <c r="H27" s="9" t="s">
        <v>21</v>
      </c>
      <c r="I27" s="11" t="s">
        <v>95</v>
      </c>
      <c r="J27" s="10" t="s">
        <v>136</v>
      </c>
      <c r="K27" s="12"/>
      <c r="L27" s="13"/>
      <c r="M27" s="14"/>
      <c r="N27" s="7"/>
    </row>
    <row r="28">
      <c r="A28" s="22">
        <f t="shared" si="0"/>
      </c>
      <c r="B28" s="9" t="s">
        <v>15</v>
      </c>
      <c r="C28" s="9" t="s">
        <v>137</v>
      </c>
      <c r="D28" s="10" t="s">
        <v>138</v>
      </c>
      <c r="E28" s="10" t="s">
        <v>139</v>
      </c>
      <c r="F28" s="10" t="s">
        <v>140</v>
      </c>
      <c r="G28" s="9" t="s">
        <v>72</v>
      </c>
      <c r="H28" s="9" t="s">
        <v>59</v>
      </c>
      <c r="I28" s="10" t="s">
        <v>137</v>
      </c>
      <c r="J28" s="10" t="s">
        <v>141</v>
      </c>
      <c r="K28" s="12"/>
      <c r="L28" s="13"/>
      <c r="M28" s="14"/>
      <c r="N28" s="7"/>
    </row>
    <row r="29">
      <c r="A29" s="22">
        <f t="shared" si="0"/>
      </c>
      <c r="B29" s="9" t="s">
        <v>15</v>
      </c>
      <c r="C29" s="9" t="s">
        <v>142</v>
      </c>
      <c r="D29" s="10" t="s">
        <v>143</v>
      </c>
      <c r="E29" s="10" t="s">
        <v>144</v>
      </c>
      <c r="F29" s="10" t="s">
        <v>145</v>
      </c>
      <c r="G29" s="9" t="s">
        <v>72</v>
      </c>
      <c r="H29" s="9" t="s">
        <v>112</v>
      </c>
      <c r="I29" s="10" t="s">
        <v>142</v>
      </c>
      <c r="J29" s="10" t="s">
        <v>146</v>
      </c>
      <c r="K29" s="12"/>
      <c r="L29" s="13"/>
      <c r="M29" s="14"/>
      <c r="N29" s="7"/>
    </row>
    <row r="30">
      <c r="A30" s="22">
        <f t="shared" si="0"/>
      </c>
      <c r="B30" s="9" t="s">
        <v>15</v>
      </c>
      <c r="C30" s="9" t="s">
        <v>147</v>
      </c>
      <c r="D30" s="10" t="s">
        <v>148</v>
      </c>
      <c r="E30" s="10" t="s">
        <v>144</v>
      </c>
      <c r="F30" s="10" t="s">
        <v>145</v>
      </c>
      <c r="G30" s="10" t="s">
        <v>28</v>
      </c>
      <c r="H30" s="9" t="s">
        <v>112</v>
      </c>
      <c r="I30" s="10" t="s">
        <v>147</v>
      </c>
      <c r="J30" s="10" t="s">
        <v>149</v>
      </c>
      <c r="K30" s="12"/>
      <c r="L30" s="13"/>
      <c r="M30" s="14"/>
      <c r="N30" s="7"/>
    </row>
    <row r="31">
      <c r="A31" s="22">
        <f t="shared" si="0"/>
      </c>
      <c r="B31" s="9" t="s">
        <v>15</v>
      </c>
      <c r="C31" s="9" t="s">
        <v>150</v>
      </c>
      <c r="D31" s="10" t="s">
        <v>151</v>
      </c>
      <c r="E31" s="10" t="s">
        <v>144</v>
      </c>
      <c r="F31" s="10" t="s">
        <v>152</v>
      </c>
      <c r="G31" s="9" t="s">
        <v>72</v>
      </c>
      <c r="H31" s="9" t="s">
        <v>112</v>
      </c>
      <c r="I31" s="10" t="s">
        <v>150</v>
      </c>
      <c r="J31" s="10" t="s">
        <v>153</v>
      </c>
      <c r="K31" s="12"/>
      <c r="L31" s="13"/>
      <c r="M31" s="14"/>
      <c r="N31" s="7"/>
    </row>
    <row r="32">
      <c r="A32" s="22">
        <f t="shared" si="0"/>
      </c>
      <c r="B32" s="9" t="s">
        <v>15</v>
      </c>
      <c r="C32" s="9" t="s">
        <v>154</v>
      </c>
      <c r="D32" s="10" t="s">
        <v>155</v>
      </c>
      <c r="E32" s="10" t="s">
        <v>144</v>
      </c>
      <c r="F32" s="10" t="s">
        <v>152</v>
      </c>
      <c r="G32" s="10" t="s">
        <v>28</v>
      </c>
      <c r="H32" s="9" t="s">
        <v>112</v>
      </c>
      <c r="I32" s="10" t="s">
        <v>154</v>
      </c>
      <c r="J32" s="10" t="s">
        <v>153</v>
      </c>
      <c r="K32" s="12"/>
      <c r="L32" s="13"/>
      <c r="M32" s="14"/>
      <c r="N32" s="7"/>
    </row>
    <row r="33">
      <c r="A33" s="22">
        <f t="shared" si="0"/>
      </c>
      <c r="B33" s="9" t="s">
        <v>15</v>
      </c>
      <c r="C33" s="9" t="s">
        <v>156</v>
      </c>
      <c r="D33" s="10" t="s">
        <v>157</v>
      </c>
      <c r="E33" s="10" t="s">
        <v>18</v>
      </c>
      <c r="F33" s="10" t="s">
        <v>158</v>
      </c>
      <c r="G33" s="9" t="s">
        <v>72</v>
      </c>
      <c r="H33" s="9" t="s">
        <v>59</v>
      </c>
      <c r="I33" s="10" t="s">
        <v>156</v>
      </c>
      <c r="J33" s="10" t="s">
        <v>159</v>
      </c>
      <c r="K33" s="12"/>
      <c r="L33" s="13"/>
      <c r="M33" s="14"/>
      <c r="N33" s="7"/>
    </row>
    <row r="34">
      <c r="A34" s="22">
        <f t="shared" si="0"/>
      </c>
      <c r="B34" s="9" t="s">
        <v>15</v>
      </c>
      <c r="C34" s="9" t="s">
        <v>160</v>
      </c>
      <c r="D34" s="10" t="s">
        <v>161</v>
      </c>
      <c r="E34" s="10" t="s">
        <v>18</v>
      </c>
      <c r="F34" s="10" t="s">
        <v>162</v>
      </c>
      <c r="G34" s="9" t="s">
        <v>72</v>
      </c>
      <c r="H34" s="9" t="s">
        <v>59</v>
      </c>
      <c r="I34" s="10" t="s">
        <v>160</v>
      </c>
      <c r="J34" s="10" t="s">
        <v>163</v>
      </c>
      <c r="K34" s="12"/>
      <c r="L34" s="13"/>
      <c r="M34" s="14"/>
      <c r="N34" s="7"/>
    </row>
    <row r="35">
      <c r="A35" s="22">
        <f t="shared" si="0"/>
      </c>
      <c r="B35" s="9" t="s">
        <v>15</v>
      </c>
      <c r="C35" s="9" t="s">
        <v>164</v>
      </c>
      <c r="D35" s="10" t="s">
        <v>165</v>
      </c>
      <c r="E35" s="10" t="s">
        <v>68</v>
      </c>
      <c r="F35" s="10" t="s">
        <v>44</v>
      </c>
      <c r="G35" s="9" t="s">
        <v>72</v>
      </c>
      <c r="H35" s="9" t="s">
        <v>59</v>
      </c>
      <c r="I35" s="10" t="s">
        <v>164</v>
      </c>
      <c r="J35" s="10" t="s">
        <v>40</v>
      </c>
      <c r="K35" s="12"/>
      <c r="L35" s="13"/>
      <c r="M35" s="14"/>
      <c r="N35" s="7"/>
    </row>
    <row r="36">
      <c r="A36" s="22">
        <f t="shared" si="0"/>
      </c>
      <c r="B36" s="9" t="s">
        <v>15</v>
      </c>
      <c r="C36" s="9" t="s">
        <v>166</v>
      </c>
      <c r="D36" s="10" t="s">
        <v>167</v>
      </c>
      <c r="E36" s="10" t="s">
        <v>105</v>
      </c>
      <c r="F36" s="10" t="s">
        <v>168</v>
      </c>
      <c r="G36" s="10" t="s">
        <v>169</v>
      </c>
      <c r="H36" s="9" t="s">
        <v>59</v>
      </c>
      <c r="I36" s="10" t="s">
        <v>166</v>
      </c>
      <c r="J36" s="10" t="s">
        <v>170</v>
      </c>
      <c r="K36" s="12"/>
      <c r="L36" s="13"/>
      <c r="M36" s="14"/>
      <c r="N36" s="7"/>
    </row>
    <row r="37">
      <c r="A37" s="22">
        <f t="shared" si="0"/>
      </c>
      <c r="B37" s="9" t="s">
        <v>24</v>
      </c>
      <c r="C37" s="9" t="s">
        <v>171</v>
      </c>
      <c r="D37" s="10" t="s">
        <v>172</v>
      </c>
      <c r="E37" s="10" t="s">
        <v>18</v>
      </c>
      <c r="F37" s="10" t="s">
        <v>173</v>
      </c>
      <c r="G37" s="10" t="s">
        <v>28</v>
      </c>
      <c r="H37" s="9" t="s">
        <v>59</v>
      </c>
      <c r="I37" s="10" t="s">
        <v>171</v>
      </c>
      <c r="J37" s="10" t="s">
        <v>29</v>
      </c>
      <c r="K37" s="12"/>
      <c r="L37" s="13"/>
      <c r="M37" s="14"/>
      <c r="N37" s="7"/>
    </row>
    <row r="38">
      <c r="A38" s="22">
        <f t="shared" si="0"/>
      </c>
      <c r="B38" s="9" t="s">
        <v>15</v>
      </c>
      <c r="C38" s="9" t="s">
        <v>174</v>
      </c>
      <c r="D38" s="10" t="s">
        <v>175</v>
      </c>
      <c r="E38" s="10" t="s">
        <v>18</v>
      </c>
      <c r="F38" s="10" t="s">
        <v>176</v>
      </c>
      <c r="G38" s="9" t="s">
        <v>72</v>
      </c>
      <c r="H38" s="9" t="s">
        <v>59</v>
      </c>
      <c r="I38" s="10" t="s">
        <v>174</v>
      </c>
      <c r="J38" s="10" t="s">
        <v>29</v>
      </c>
      <c r="K38" s="12"/>
      <c r="L38" s="13"/>
      <c r="M38" s="14"/>
      <c r="N38" s="7"/>
    </row>
    <row r="39">
      <c r="A39" s="22">
        <f t="shared" si="0"/>
      </c>
      <c r="B39" s="9" t="s">
        <v>15</v>
      </c>
      <c r="C39" s="9" t="s">
        <v>177</v>
      </c>
      <c r="D39" s="10" t="s">
        <v>178</v>
      </c>
      <c r="E39" s="10" t="s">
        <v>18</v>
      </c>
      <c r="F39" s="10" t="s">
        <v>179</v>
      </c>
      <c r="G39" s="9" t="s">
        <v>72</v>
      </c>
      <c r="H39" s="9" t="s">
        <v>59</v>
      </c>
      <c r="I39" s="10" t="s">
        <v>177</v>
      </c>
      <c r="J39" s="10" t="s">
        <v>29</v>
      </c>
      <c r="K39" s="12"/>
      <c r="L39" s="13"/>
      <c r="M39" s="14"/>
      <c r="N39" s="7"/>
    </row>
    <row r="40">
      <c r="A40" s="22">
        <f t="shared" si="0"/>
      </c>
      <c r="B40" s="9" t="s">
        <v>15</v>
      </c>
      <c r="C40" s="9" t="s">
        <v>180</v>
      </c>
      <c r="D40" s="10" t="s">
        <v>181</v>
      </c>
      <c r="E40" s="10" t="s">
        <v>182</v>
      </c>
      <c r="F40" s="10" t="s">
        <v>183</v>
      </c>
      <c r="G40" s="10" t="s">
        <v>184</v>
      </c>
      <c r="H40" s="9" t="s">
        <v>59</v>
      </c>
      <c r="I40" s="10" t="s">
        <v>185</v>
      </c>
      <c r="J40" s="10" t="s">
        <v>186</v>
      </c>
      <c r="K40" s="12"/>
      <c r="L40" s="13"/>
      <c r="M40" s="14"/>
      <c r="N40" s="7"/>
    </row>
    <row r="41">
      <c r="A41" s="22">
        <f t="shared" si="0"/>
      </c>
      <c r="B41" s="9" t="s">
        <v>15</v>
      </c>
      <c r="C41" s="9" t="s">
        <v>187</v>
      </c>
      <c r="D41" s="10" t="s">
        <v>188</v>
      </c>
      <c r="E41" s="10" t="s">
        <v>139</v>
      </c>
      <c r="F41" s="10" t="s">
        <v>189</v>
      </c>
      <c r="G41" s="10" t="s">
        <v>28</v>
      </c>
      <c r="H41" s="9" t="s">
        <v>59</v>
      </c>
      <c r="I41" s="10" t="s">
        <v>187</v>
      </c>
      <c r="J41" s="10" t="s">
        <v>190</v>
      </c>
      <c r="K41" s="12"/>
      <c r="L41" s="13"/>
      <c r="M41" s="14"/>
      <c r="N41" s="7"/>
    </row>
    <row r="42">
      <c r="A42" s="22">
        <f t="shared" si="0"/>
      </c>
      <c r="B42" s="9" t="s">
        <v>15</v>
      </c>
      <c r="C42" s="9" t="s">
        <v>191</v>
      </c>
      <c r="D42" s="10" t="s">
        <v>192</v>
      </c>
      <c r="E42" s="10" t="s">
        <v>18</v>
      </c>
      <c r="F42" s="10" t="s">
        <v>193</v>
      </c>
      <c r="G42" s="10" t="s">
        <v>194</v>
      </c>
      <c r="H42" s="9" t="s">
        <v>59</v>
      </c>
      <c r="I42" s="10" t="s">
        <v>191</v>
      </c>
      <c r="J42" s="10" t="s">
        <v>77</v>
      </c>
      <c r="K42" s="12"/>
      <c r="L42" s="13"/>
      <c r="M42" s="14"/>
      <c r="N42" s="7"/>
    </row>
    <row r="43">
      <c r="A43" s="22">
        <f t="shared" si="0"/>
      </c>
      <c r="B43" s="9" t="s">
        <v>15</v>
      </c>
      <c r="C43" s="9" t="s">
        <v>195</v>
      </c>
      <c r="D43" s="10" t="s">
        <v>196</v>
      </c>
      <c r="E43" s="10" t="s">
        <v>123</v>
      </c>
      <c r="F43" s="10" t="s">
        <v>124</v>
      </c>
      <c r="G43" s="10" t="s">
        <v>197</v>
      </c>
      <c r="H43" s="9" t="s">
        <v>59</v>
      </c>
      <c r="I43" s="10" t="s">
        <v>195</v>
      </c>
      <c r="J43" s="10" t="s">
        <v>126</v>
      </c>
      <c r="K43" s="12"/>
      <c r="L43" s="13"/>
      <c r="M43" s="14"/>
      <c r="N43" s="7"/>
    </row>
    <row r="44">
      <c r="A44" s="22">
        <f t="shared" si="0"/>
      </c>
      <c r="B44" s="9" t="s">
        <v>15</v>
      </c>
      <c r="C44" s="9" t="s">
        <v>198</v>
      </c>
      <c r="D44" s="10" t="s">
        <v>199</v>
      </c>
      <c r="E44" s="10" t="s">
        <v>18</v>
      </c>
      <c r="F44" s="10" t="s">
        <v>200</v>
      </c>
      <c r="G44" s="10" t="s">
        <v>201</v>
      </c>
      <c r="H44" s="9" t="s">
        <v>59</v>
      </c>
      <c r="I44" s="10" t="s">
        <v>198</v>
      </c>
      <c r="J44" s="10" t="s">
        <v>202</v>
      </c>
      <c r="K44" s="12"/>
      <c r="L44" s="13"/>
      <c r="M44" s="14"/>
      <c r="N44" s="7"/>
    </row>
    <row r="45">
      <c r="A45" s="22">
        <f t="shared" si="0"/>
      </c>
      <c r="B45" s="9" t="s">
        <v>15</v>
      </c>
      <c r="C45" s="9" t="s">
        <v>203</v>
      </c>
      <c r="D45" s="10" t="s">
        <v>204</v>
      </c>
      <c r="E45" s="10" t="s">
        <v>123</v>
      </c>
      <c r="F45" s="10" t="s">
        <v>124</v>
      </c>
      <c r="G45" s="10" t="s">
        <v>197</v>
      </c>
      <c r="H45" s="9" t="s">
        <v>59</v>
      </c>
      <c r="I45" s="10" t="s">
        <v>205</v>
      </c>
      <c r="J45" s="10" t="s">
        <v>126</v>
      </c>
      <c r="K45" s="12"/>
      <c r="L45" s="13"/>
      <c r="M45" s="14"/>
      <c r="N45" s="7"/>
    </row>
    <row r="46">
      <c r="A46" s="22">
        <f t="shared" si="0"/>
      </c>
      <c r="B46" s="9" t="s">
        <v>15</v>
      </c>
      <c r="C46" s="9" t="s">
        <v>206</v>
      </c>
      <c r="D46" s="10" t="s">
        <v>207</v>
      </c>
      <c r="E46" s="10" t="s">
        <v>68</v>
      </c>
      <c r="F46" s="10" t="s">
        <v>44</v>
      </c>
      <c r="G46" s="9" t="s">
        <v>72</v>
      </c>
      <c r="H46" s="9" t="s">
        <v>59</v>
      </c>
      <c r="I46" s="10" t="s">
        <v>206</v>
      </c>
      <c r="J46" s="10" t="s">
        <v>40</v>
      </c>
      <c r="K46" s="12"/>
      <c r="L46" s="13"/>
      <c r="M46" s="14"/>
      <c r="N46" s="7"/>
    </row>
    <row r="47">
      <c r="A47" s="22">
        <f t="shared" si="0"/>
      </c>
      <c r="B47" s="9" t="s">
        <v>15</v>
      </c>
      <c r="C47" s="9" t="s">
        <v>208</v>
      </c>
      <c r="D47" s="10" t="s">
        <v>209</v>
      </c>
      <c r="E47" s="10" t="s">
        <v>68</v>
      </c>
      <c r="F47" s="10" t="s">
        <v>210</v>
      </c>
      <c r="G47" s="9" t="s">
        <v>72</v>
      </c>
      <c r="H47" s="9" t="s">
        <v>59</v>
      </c>
      <c r="I47" s="10" t="s">
        <v>211</v>
      </c>
      <c r="J47" s="10" t="s">
        <v>212</v>
      </c>
      <c r="K47" s="12"/>
      <c r="L47" s="13"/>
      <c r="M47" s="14"/>
      <c r="N47" s="7"/>
    </row>
    <row r="48">
      <c r="A48" s="22">
        <f t="shared" si="0"/>
      </c>
      <c r="B48" s="9" t="s">
        <v>15</v>
      </c>
      <c r="C48" s="9" t="s">
        <v>213</v>
      </c>
      <c r="D48" s="10" t="s">
        <v>214</v>
      </c>
      <c r="E48" s="10" t="s">
        <v>68</v>
      </c>
      <c r="F48" s="10" t="s">
        <v>44</v>
      </c>
      <c r="G48" s="9" t="s">
        <v>72</v>
      </c>
      <c r="H48" s="9" t="s">
        <v>59</v>
      </c>
      <c r="I48" s="10" t="s">
        <v>213</v>
      </c>
      <c r="J48" s="10" t="s">
        <v>40</v>
      </c>
      <c r="K48" s="12"/>
      <c r="L48" s="13"/>
      <c r="M48" s="14"/>
      <c r="N48" s="7"/>
    </row>
    <row r="49">
      <c r="A49" s="22">
        <f t="shared" si="0"/>
      </c>
      <c r="B49" s="9" t="s">
        <v>15</v>
      </c>
      <c r="C49" s="9" t="s">
        <v>215</v>
      </c>
      <c r="D49" s="10" t="s">
        <v>216</v>
      </c>
      <c r="E49" s="10" t="s">
        <v>68</v>
      </c>
      <c r="F49" s="10" t="s">
        <v>217</v>
      </c>
      <c r="G49" s="9" t="s">
        <v>72</v>
      </c>
      <c r="H49" s="9" t="s">
        <v>59</v>
      </c>
      <c r="I49" s="10" t="s">
        <v>211</v>
      </c>
      <c r="J49" s="10" t="s">
        <v>218</v>
      </c>
      <c r="K49" s="12"/>
      <c r="L49" s="13"/>
      <c r="M49" s="14"/>
      <c r="N49" s="7"/>
    </row>
    <row r="50">
      <c r="A50" s="22">
        <f t="shared" si="0"/>
      </c>
      <c r="B50" s="9" t="s">
        <v>15</v>
      </c>
      <c r="C50" s="9" t="s">
        <v>219</v>
      </c>
      <c r="D50" s="10" t="s">
        <v>220</v>
      </c>
      <c r="E50" s="10" t="s">
        <v>18</v>
      </c>
      <c r="F50" s="10" t="s">
        <v>221</v>
      </c>
      <c r="G50" s="9" t="s">
        <v>72</v>
      </c>
      <c r="H50" s="9" t="s">
        <v>59</v>
      </c>
      <c r="I50" s="10" t="s">
        <v>219</v>
      </c>
      <c r="J50" s="10" t="s">
        <v>29</v>
      </c>
      <c r="K50" s="12"/>
      <c r="L50" s="13"/>
      <c r="M50" s="14"/>
      <c r="N50" s="7"/>
    </row>
    <row r="51">
      <c r="A51" s="22">
        <f t="shared" si="0"/>
      </c>
      <c r="B51" s="9" t="s">
        <v>15</v>
      </c>
      <c r="C51" s="9" t="s">
        <v>222</v>
      </c>
      <c r="D51" s="10" t="s">
        <v>223</v>
      </c>
      <c r="E51" s="10" t="s">
        <v>68</v>
      </c>
      <c r="F51" s="10" t="s">
        <v>90</v>
      </c>
      <c r="G51" s="9" t="s">
        <v>72</v>
      </c>
      <c r="H51" s="9" t="s">
        <v>59</v>
      </c>
      <c r="I51" s="10" t="s">
        <v>222</v>
      </c>
      <c r="J51" s="10" t="s">
        <v>40</v>
      </c>
      <c r="K51" s="12"/>
      <c r="L51" s="13"/>
      <c r="M51" s="14"/>
      <c r="N51" s="7"/>
    </row>
    <row r="52">
      <c r="A52" s="22">
        <f t="shared" si="0"/>
      </c>
      <c r="B52" s="9" t="s">
        <v>15</v>
      </c>
      <c r="C52" s="9" t="s">
        <v>224</v>
      </c>
      <c r="D52" s="10" t="s">
        <v>225</v>
      </c>
      <c r="E52" s="10" t="s">
        <v>18</v>
      </c>
      <c r="F52" s="10" t="s">
        <v>226</v>
      </c>
      <c r="G52" s="10" t="s">
        <v>28</v>
      </c>
      <c r="H52" s="9" t="s">
        <v>59</v>
      </c>
      <c r="I52" s="10" t="s">
        <v>224</v>
      </c>
      <c r="J52" s="10" t="s">
        <v>29</v>
      </c>
      <c r="K52" s="12"/>
      <c r="L52" s="13"/>
      <c r="M52" s="14"/>
      <c r="N52" s="7"/>
    </row>
    <row r="53">
      <c r="A53" s="22">
        <f t="shared" si="0"/>
      </c>
      <c r="B53" s="9" t="s">
        <v>15</v>
      </c>
      <c r="C53" s="9" t="s">
        <v>227</v>
      </c>
      <c r="D53" s="10" t="s">
        <v>228</v>
      </c>
      <c r="E53" s="10" t="s">
        <v>229</v>
      </c>
      <c r="F53" s="10" t="s">
        <v>230</v>
      </c>
      <c r="G53" s="10" t="s">
        <v>28</v>
      </c>
      <c r="H53" s="9" t="s">
        <v>59</v>
      </c>
      <c r="I53" s="10" t="s">
        <v>227</v>
      </c>
      <c r="J53" s="10" t="s">
        <v>40</v>
      </c>
      <c r="K53" s="12"/>
      <c r="L53" s="13"/>
      <c r="M53" s="14"/>
      <c r="N53" s="7"/>
    </row>
    <row r="54">
      <c r="A54" s="22">
        <f t="shared" si="0"/>
      </c>
      <c r="B54" s="9" t="s">
        <v>15</v>
      </c>
      <c r="C54" s="9" t="s">
        <v>231</v>
      </c>
      <c r="D54" s="10" t="s">
        <v>232</v>
      </c>
      <c r="E54" s="10" t="s">
        <v>229</v>
      </c>
      <c r="F54" s="10" t="s">
        <v>233</v>
      </c>
      <c r="G54" s="9" t="s">
        <v>72</v>
      </c>
      <c r="H54" s="9" t="s">
        <v>59</v>
      </c>
      <c r="I54" s="10" t="s">
        <v>231</v>
      </c>
      <c r="J54" s="10" t="s">
        <v>234</v>
      </c>
      <c r="K54" s="12"/>
      <c r="L54" s="13"/>
      <c r="M54" s="14"/>
      <c r="N54" s="7"/>
    </row>
    <row r="55">
      <c r="A55" s="22">
        <f t="shared" si="0"/>
      </c>
      <c r="B55" s="9" t="s">
        <v>15</v>
      </c>
      <c r="C55" s="9" t="s">
        <v>235</v>
      </c>
      <c r="D55" s="10" t="s">
        <v>236</v>
      </c>
      <c r="E55" s="10" t="s">
        <v>139</v>
      </c>
      <c r="F55" s="10" t="s">
        <v>189</v>
      </c>
      <c r="G55" s="9" t="s">
        <v>72</v>
      </c>
      <c r="H55" s="9" t="s">
        <v>59</v>
      </c>
      <c r="I55" s="10" t="s">
        <v>235</v>
      </c>
      <c r="J55" s="10" t="s">
        <v>190</v>
      </c>
      <c r="K55" s="12"/>
      <c r="L55" s="13"/>
      <c r="M55" s="14"/>
      <c r="N55" s="7"/>
    </row>
    <row r="56">
      <c r="A56" s="22">
        <f t="shared" si="0"/>
      </c>
      <c r="B56" s="9" t="s">
        <v>24</v>
      </c>
      <c r="C56" s="9" t="s">
        <v>237</v>
      </c>
      <c r="D56" s="10" t="s">
        <v>238</v>
      </c>
      <c r="E56" s="9" t="s">
        <v>239</v>
      </c>
      <c r="F56" s="10" t="s">
        <v>240</v>
      </c>
      <c r="G56" s="9" t="s">
        <v>241</v>
      </c>
      <c r="H56" s="9" t="s">
        <v>21</v>
      </c>
      <c r="I56" s="11" t="s">
        <v>242</v>
      </c>
      <c r="J56" s="10" t="s">
        <v>243</v>
      </c>
      <c r="K56" s="12"/>
      <c r="L56" s="13"/>
      <c r="M56" s="14"/>
      <c r="N56" s="7"/>
    </row>
    <row r="57">
      <c r="A57" s="22">
        <f t="shared" si="0"/>
      </c>
      <c r="B57" s="9" t="s">
        <v>78</v>
      </c>
      <c r="C57" s="9" t="s">
        <v>244</v>
      </c>
      <c r="D57" s="10" t="s">
        <v>245</v>
      </c>
      <c r="E57" s="10" t="s">
        <v>123</v>
      </c>
      <c r="F57" s="10" t="s">
        <v>124</v>
      </c>
      <c r="G57" s="10" t="s">
        <v>125</v>
      </c>
      <c r="H57" s="9" t="s">
        <v>59</v>
      </c>
      <c r="I57" s="10" t="s">
        <v>244</v>
      </c>
      <c r="J57" s="10" t="s">
        <v>126</v>
      </c>
      <c r="K57" s="12"/>
      <c r="L57" s="13"/>
      <c r="M57" s="14"/>
      <c r="N57" s="7"/>
    </row>
    <row r="58">
      <c r="A58" s="22">
        <f t="shared" si="0"/>
      </c>
      <c r="B58" s="9" t="s">
        <v>15</v>
      </c>
      <c r="C58" s="9" t="s">
        <v>246</v>
      </c>
      <c r="D58" s="10" t="s">
        <v>247</v>
      </c>
      <c r="E58" s="10" t="s">
        <v>123</v>
      </c>
      <c r="F58" s="10" t="s">
        <v>124</v>
      </c>
      <c r="G58" s="10" t="s">
        <v>248</v>
      </c>
      <c r="H58" s="9" t="s">
        <v>59</v>
      </c>
      <c r="I58" s="10" t="s">
        <v>249</v>
      </c>
      <c r="J58" s="10" t="s">
        <v>126</v>
      </c>
      <c r="K58" s="12"/>
      <c r="L58" s="13"/>
      <c r="M58" s="14"/>
      <c r="N58" s="7"/>
    </row>
    <row r="59">
      <c r="A59" s="22">
        <f t="shared" si="0"/>
      </c>
      <c r="B59" s="9" t="s">
        <v>24</v>
      </c>
      <c r="C59" s="9" t="s">
        <v>250</v>
      </c>
      <c r="D59" s="25" t="s">
        <v>251</v>
      </c>
      <c r="E59" s="10" t="s">
        <v>123</v>
      </c>
      <c r="F59" s="10" t="s">
        <v>124</v>
      </c>
      <c r="G59" s="9" t="s">
        <v>252</v>
      </c>
      <c r="H59" s="9" t="s">
        <v>59</v>
      </c>
      <c r="I59" s="10" t="s">
        <v>250</v>
      </c>
      <c r="J59" s="10" t="s">
        <v>126</v>
      </c>
      <c r="K59" s="12"/>
      <c r="L59" s="13"/>
      <c r="M59" s="14"/>
      <c r="N59" s="7"/>
    </row>
    <row r="60">
      <c r="A60" s="22">
        <f t="shared" si="0"/>
      </c>
      <c r="B60" s="9" t="s">
        <v>15</v>
      </c>
      <c r="C60" s="9" t="s">
        <v>253</v>
      </c>
      <c r="D60" s="10" t="s">
        <v>254</v>
      </c>
      <c r="E60" s="10" t="s">
        <v>123</v>
      </c>
      <c r="F60" s="10" t="s">
        <v>124</v>
      </c>
      <c r="G60" s="10" t="s">
        <v>248</v>
      </c>
      <c r="H60" s="9" t="s">
        <v>59</v>
      </c>
      <c r="I60" s="10" t="s">
        <v>253</v>
      </c>
      <c r="J60" s="10" t="s">
        <v>126</v>
      </c>
      <c r="K60" s="12"/>
      <c r="L60" s="13"/>
      <c r="M60" s="14"/>
      <c r="N60" s="7"/>
    </row>
    <row r="61">
      <c r="A61" s="26" t="s">
        <v>255</v>
      </c>
      <c r="B61" s="27"/>
      <c r="C61" s="27"/>
      <c r="D61" s="14"/>
      <c r="E61" s="14"/>
      <c r="F61" s="14"/>
      <c r="G61" s="14"/>
      <c r="H61" s="14"/>
      <c r="I61" s="14"/>
      <c r="J61" s="14"/>
      <c r="K61" s="12"/>
      <c r="L61" s="13"/>
      <c r="M61" s="14"/>
      <c r="N61" s="7"/>
    </row>
    <row r="62">
      <c r="A62" s="28" t="s">
        <v>1</v>
      </c>
      <c r="B62" s="29" t="s">
        <v>2</v>
      </c>
      <c r="C62" s="28" t="s">
        <v>3</v>
      </c>
      <c r="D62" s="28" t="s">
        <v>4</v>
      </c>
      <c r="E62" s="28" t="s">
        <v>5</v>
      </c>
      <c r="F62" s="28" t="s">
        <v>6</v>
      </c>
      <c r="G62" s="28" t="s">
        <v>7</v>
      </c>
      <c r="H62" s="29" t="s">
        <v>8</v>
      </c>
      <c r="I62" s="28" t="s">
        <v>9</v>
      </c>
      <c r="J62" s="28" t="s">
        <v>10</v>
      </c>
      <c r="K62" s="12"/>
      <c r="L62" s="13"/>
      <c r="M62" s="14"/>
      <c r="N62" s="7"/>
    </row>
    <row r="63">
      <c r="A63" s="22">
        <f t="shared" ref="A63:A135" si="1">ROW(A63)-4</f>
      </c>
      <c r="B63" s="9" t="s">
        <v>87</v>
      </c>
      <c r="C63" s="9" t="s">
        <v>256</v>
      </c>
      <c r="D63" s="25" t="s">
        <v>257</v>
      </c>
      <c r="E63" s="10" t="s">
        <v>68</v>
      </c>
      <c r="F63" s="10" t="s">
        <v>258</v>
      </c>
      <c r="G63" s="9" t="s">
        <v>259</v>
      </c>
      <c r="H63" s="9" t="s">
        <v>59</v>
      </c>
      <c r="I63" s="10" t="s">
        <v>260</v>
      </c>
      <c r="J63" s="10" t="s">
        <v>261</v>
      </c>
      <c r="K63" s="12"/>
      <c r="L63" s="13"/>
      <c r="M63" s="14"/>
      <c r="N63" s="7"/>
    </row>
    <row r="64">
      <c r="A64" s="22">
        <f t="shared" si="1"/>
      </c>
      <c r="B64" s="9" t="s">
        <v>87</v>
      </c>
      <c r="C64" s="24" t="s">
        <v>262</v>
      </c>
      <c r="D64" s="25" t="s">
        <v>257</v>
      </c>
      <c r="E64" s="10" t="s">
        <v>68</v>
      </c>
      <c r="F64" s="10" t="s">
        <v>258</v>
      </c>
      <c r="G64" s="9" t="s">
        <v>52</v>
      </c>
      <c r="H64" s="9" t="s">
        <v>21</v>
      </c>
      <c r="I64" s="10" t="s">
        <v>260</v>
      </c>
      <c r="J64" s="10" t="s">
        <v>261</v>
      </c>
      <c r="K64" s="12"/>
      <c r="L64" s="13"/>
      <c r="M64" s="14"/>
      <c r="N64" s="7"/>
    </row>
    <row r="65">
      <c r="A65" s="22">
        <f t="shared" si="1"/>
      </c>
      <c r="B65" s="9" t="s">
        <v>87</v>
      </c>
      <c r="C65" s="9" t="s">
        <v>263</v>
      </c>
      <c r="D65" s="25" t="s">
        <v>264</v>
      </c>
      <c r="E65" s="10" t="s">
        <v>68</v>
      </c>
      <c r="F65" s="10" t="s">
        <v>90</v>
      </c>
      <c r="G65" s="9" t="s">
        <v>252</v>
      </c>
      <c r="H65" s="9" t="s">
        <v>59</v>
      </c>
      <c r="I65" s="10" t="s">
        <v>263</v>
      </c>
      <c r="J65" s="10" t="s">
        <v>40</v>
      </c>
      <c r="K65" s="12"/>
      <c r="L65" s="13"/>
      <c r="M65" s="14"/>
      <c r="N65" s="7"/>
    </row>
    <row r="66">
      <c r="A66" s="22">
        <f t="shared" si="1"/>
      </c>
      <c r="B66" s="9" t="s">
        <v>87</v>
      </c>
      <c r="C66" s="9" t="s">
        <v>265</v>
      </c>
      <c r="D66" s="25" t="s">
        <v>266</v>
      </c>
      <c r="E66" s="10" t="s">
        <v>68</v>
      </c>
      <c r="F66" s="10" t="s">
        <v>267</v>
      </c>
      <c r="G66" s="9" t="s">
        <v>252</v>
      </c>
      <c r="H66" s="9" t="s">
        <v>59</v>
      </c>
      <c r="I66" s="10" t="s">
        <v>265</v>
      </c>
      <c r="J66" s="10" t="s">
        <v>268</v>
      </c>
      <c r="K66" s="12"/>
      <c r="L66" s="13"/>
      <c r="M66" s="14"/>
      <c r="N66" s="7"/>
    </row>
    <row r="67">
      <c r="A67" s="22">
        <f t="shared" si="1"/>
      </c>
      <c r="B67" s="9" t="s">
        <v>87</v>
      </c>
      <c r="C67" s="9" t="s">
        <v>269</v>
      </c>
      <c r="D67" s="25" t="s">
        <v>270</v>
      </c>
      <c r="E67" s="10" t="s">
        <v>239</v>
      </c>
      <c r="F67" s="10" t="s">
        <v>271</v>
      </c>
      <c r="G67" s="10" t="s">
        <v>28</v>
      </c>
      <c r="H67" s="9" t="s">
        <v>21</v>
      </c>
      <c r="I67" s="11" t="s">
        <v>95</v>
      </c>
      <c r="J67" s="10" t="s">
        <v>272</v>
      </c>
      <c r="K67" s="12"/>
      <c r="L67" s="13"/>
      <c r="M67" s="14"/>
      <c r="N67" s="7"/>
    </row>
    <row r="68">
      <c r="A68" s="22">
        <f t="shared" si="1"/>
      </c>
      <c r="B68" s="9" t="s">
        <v>87</v>
      </c>
      <c r="C68" s="9" t="s">
        <v>273</v>
      </c>
      <c r="D68" s="25" t="s">
        <v>274</v>
      </c>
      <c r="E68" s="10" t="s">
        <v>275</v>
      </c>
      <c r="F68" s="10" t="s">
        <v>276</v>
      </c>
      <c r="G68" s="9" t="s">
        <v>252</v>
      </c>
      <c r="H68" s="9" t="s">
        <v>59</v>
      </c>
      <c r="I68" s="10" t="s">
        <v>273</v>
      </c>
      <c r="J68" s="10" t="s">
        <v>277</v>
      </c>
      <c r="K68" s="12"/>
      <c r="L68" s="13"/>
      <c r="M68" s="14"/>
      <c r="N68" s="7"/>
    </row>
    <row r="69">
      <c r="A69" s="22">
        <f t="shared" si="1"/>
      </c>
      <c r="B69" s="9" t="s">
        <v>87</v>
      </c>
      <c r="C69" s="9" t="s">
        <v>278</v>
      </c>
      <c r="D69" s="25" t="s">
        <v>279</v>
      </c>
      <c r="E69" s="10" t="s">
        <v>123</v>
      </c>
      <c r="F69" s="10" t="s">
        <v>124</v>
      </c>
      <c r="G69" s="10" t="s">
        <v>28</v>
      </c>
      <c r="H69" s="9" t="s">
        <v>59</v>
      </c>
      <c r="I69" s="10" t="s">
        <v>278</v>
      </c>
      <c r="J69" s="10" t="s">
        <v>126</v>
      </c>
      <c r="K69" s="12"/>
      <c r="L69" s="13"/>
      <c r="M69" s="14"/>
      <c r="N69" s="7"/>
    </row>
    <row r="70">
      <c r="A70" s="22">
        <f t="shared" si="1"/>
      </c>
      <c r="B70" s="9" t="s">
        <v>87</v>
      </c>
      <c r="C70" s="9" t="s">
        <v>280</v>
      </c>
      <c r="D70" s="25" t="s">
        <v>281</v>
      </c>
      <c r="E70" s="10" t="s">
        <v>123</v>
      </c>
      <c r="F70" s="10" t="s">
        <v>124</v>
      </c>
      <c r="G70" s="10" t="s">
        <v>28</v>
      </c>
      <c r="H70" s="9" t="s">
        <v>59</v>
      </c>
      <c r="I70" s="10" t="s">
        <v>280</v>
      </c>
      <c r="J70" s="10" t="s">
        <v>126</v>
      </c>
      <c r="K70" s="12"/>
      <c r="L70" s="13"/>
      <c r="M70" s="14"/>
      <c r="N70" s="7"/>
    </row>
    <row r="71">
      <c r="A71" s="22">
        <f t="shared" si="1"/>
      </c>
      <c r="B71" s="9" t="s">
        <v>87</v>
      </c>
      <c r="C71" s="9" t="s">
        <v>282</v>
      </c>
      <c r="D71" s="10" t="s">
        <v>283</v>
      </c>
      <c r="E71" s="10" t="s">
        <v>18</v>
      </c>
      <c r="F71" s="10" t="s">
        <v>284</v>
      </c>
      <c r="G71" s="10" t="s">
        <v>285</v>
      </c>
      <c r="H71" s="9" t="s">
        <v>59</v>
      </c>
      <c r="I71" s="10" t="s">
        <v>282</v>
      </c>
      <c r="J71" s="10" t="s">
        <v>286</v>
      </c>
      <c r="K71" s="12"/>
      <c r="L71" s="13"/>
      <c r="M71" s="14"/>
      <c r="N71" s="7"/>
    </row>
    <row r="72">
      <c r="A72" s="22">
        <f t="shared" si="1"/>
      </c>
      <c r="B72" s="9" t="s">
        <v>87</v>
      </c>
      <c r="C72" s="9" t="s">
        <v>287</v>
      </c>
      <c r="D72" s="10" t="s">
        <v>288</v>
      </c>
      <c r="E72" s="10" t="s">
        <v>229</v>
      </c>
      <c r="F72" s="10" t="s">
        <v>289</v>
      </c>
      <c r="G72" s="10" t="s">
        <v>290</v>
      </c>
      <c r="H72" s="9" t="s">
        <v>59</v>
      </c>
      <c r="I72" s="10" t="s">
        <v>287</v>
      </c>
      <c r="J72" s="10" t="s">
        <v>40</v>
      </c>
      <c r="K72" s="12"/>
      <c r="L72" s="13"/>
      <c r="M72" s="14"/>
      <c r="N72" s="7"/>
    </row>
    <row r="73">
      <c r="A73" s="22">
        <f t="shared" si="1"/>
      </c>
      <c r="B73" s="9" t="s">
        <v>87</v>
      </c>
      <c r="C73" s="9" t="s">
        <v>291</v>
      </c>
      <c r="D73" s="25" t="s">
        <v>292</v>
      </c>
      <c r="E73" s="10" t="s">
        <v>18</v>
      </c>
      <c r="F73" s="10" t="s">
        <v>293</v>
      </c>
      <c r="G73" s="10" t="s">
        <v>28</v>
      </c>
      <c r="H73" s="9" t="s">
        <v>59</v>
      </c>
      <c r="I73" s="10" t="s">
        <v>291</v>
      </c>
      <c r="J73" s="10" t="s">
        <v>29</v>
      </c>
      <c r="K73" s="12"/>
      <c r="L73" s="13"/>
      <c r="M73" s="14"/>
      <c r="N73" s="7"/>
    </row>
    <row r="74">
      <c r="A74" s="22">
        <f t="shared" si="1"/>
      </c>
      <c r="B74" s="9" t="s">
        <v>87</v>
      </c>
      <c r="C74" s="9" t="s">
        <v>294</v>
      </c>
      <c r="D74" s="25" t="s">
        <v>295</v>
      </c>
      <c r="E74" s="10" t="s">
        <v>123</v>
      </c>
      <c r="F74" s="10" t="s">
        <v>124</v>
      </c>
      <c r="G74" s="10" t="s">
        <v>28</v>
      </c>
      <c r="H74" s="9" t="s">
        <v>59</v>
      </c>
      <c r="I74" s="10" t="s">
        <v>294</v>
      </c>
      <c r="J74" s="10" t="s">
        <v>296</v>
      </c>
      <c r="K74" s="12"/>
      <c r="L74" s="13"/>
      <c r="M74" s="14"/>
      <c r="N74" s="7"/>
    </row>
    <row r="75">
      <c r="A75" s="22">
        <f t="shared" si="1"/>
      </c>
      <c r="B75" s="9" t="s">
        <v>87</v>
      </c>
      <c r="C75" s="9" t="s">
        <v>297</v>
      </c>
      <c r="D75" s="25" t="s">
        <v>298</v>
      </c>
      <c r="E75" s="10" t="s">
        <v>105</v>
      </c>
      <c r="F75" s="10" t="s">
        <v>106</v>
      </c>
      <c r="G75" s="10" t="s">
        <v>28</v>
      </c>
      <c r="H75" s="9" t="s">
        <v>59</v>
      </c>
      <c r="I75" s="10" t="s">
        <v>297</v>
      </c>
      <c r="J75" s="10" t="s">
        <v>299</v>
      </c>
      <c r="K75" s="12"/>
      <c r="L75" s="13"/>
      <c r="M75" s="14"/>
      <c r="N75" s="7"/>
    </row>
    <row r="76">
      <c r="A76" s="22">
        <f t="shared" si="1"/>
      </c>
      <c r="B76" s="9" t="s">
        <v>87</v>
      </c>
      <c r="C76" s="9" t="s">
        <v>300</v>
      </c>
      <c r="D76" s="25" t="s">
        <v>301</v>
      </c>
      <c r="E76" s="10" t="s">
        <v>139</v>
      </c>
      <c r="F76" s="10" t="s">
        <v>302</v>
      </c>
      <c r="G76" s="10" t="s">
        <v>28</v>
      </c>
      <c r="H76" s="9" t="s">
        <v>59</v>
      </c>
      <c r="I76" s="10" t="s">
        <v>300</v>
      </c>
      <c r="J76" s="10" t="s">
        <v>303</v>
      </c>
      <c r="K76" s="12"/>
      <c r="L76" s="13"/>
      <c r="M76" s="14"/>
      <c r="N76" s="7"/>
    </row>
    <row r="77">
      <c r="A77" s="22">
        <f t="shared" si="1"/>
      </c>
      <c r="B77" s="9" t="s">
        <v>87</v>
      </c>
      <c r="C77" s="9" t="s">
        <v>304</v>
      </c>
      <c r="D77" s="25" t="s">
        <v>305</v>
      </c>
      <c r="E77" s="10" t="s">
        <v>18</v>
      </c>
      <c r="F77" s="10" t="s">
        <v>306</v>
      </c>
      <c r="G77" s="9" t="s">
        <v>252</v>
      </c>
      <c r="H77" s="9" t="s">
        <v>59</v>
      </c>
      <c r="I77" s="10" t="s">
        <v>304</v>
      </c>
      <c r="J77" s="10" t="s">
        <v>29</v>
      </c>
      <c r="K77" s="12"/>
      <c r="L77" s="13"/>
      <c r="M77" s="14"/>
      <c r="N77" s="7"/>
    </row>
    <row r="78">
      <c r="A78" s="22">
        <f t="shared" si="1"/>
      </c>
      <c r="B78" s="9" t="s">
        <v>87</v>
      </c>
      <c r="C78" s="9" t="s">
        <v>307</v>
      </c>
      <c r="D78" s="25" t="s">
        <v>308</v>
      </c>
      <c r="E78" s="10" t="s">
        <v>309</v>
      </c>
      <c r="F78" s="10" t="s">
        <v>310</v>
      </c>
      <c r="G78" s="9" t="s">
        <v>252</v>
      </c>
      <c r="H78" s="9" t="s">
        <v>59</v>
      </c>
      <c r="I78" s="10" t="s">
        <v>307</v>
      </c>
      <c r="J78" s="10" t="s">
        <v>311</v>
      </c>
      <c r="K78" s="12"/>
      <c r="L78" s="13"/>
      <c r="M78" s="14"/>
      <c r="N78" s="7"/>
    </row>
    <row r="79">
      <c r="A79" s="22">
        <f t="shared" si="1"/>
      </c>
      <c r="B79" s="9" t="s">
        <v>87</v>
      </c>
      <c r="C79" s="9" t="s">
        <v>312</v>
      </c>
      <c r="D79" s="25" t="s">
        <v>313</v>
      </c>
      <c r="E79" s="10" t="s">
        <v>229</v>
      </c>
      <c r="F79" s="10" t="s">
        <v>314</v>
      </c>
      <c r="G79" s="10" t="s">
        <v>28</v>
      </c>
      <c r="H79" s="9" t="s">
        <v>59</v>
      </c>
      <c r="I79" s="10" t="s">
        <v>312</v>
      </c>
      <c r="J79" s="10" t="s">
        <v>234</v>
      </c>
      <c r="K79" s="12"/>
      <c r="L79" s="13"/>
      <c r="M79" s="14"/>
      <c r="N79" s="7"/>
    </row>
    <row r="80">
      <c r="A80" s="22">
        <f t="shared" si="1"/>
      </c>
      <c r="B80" s="9" t="s">
        <v>87</v>
      </c>
      <c r="C80" s="9" t="s">
        <v>315</v>
      </c>
      <c r="D80" s="25" t="s">
        <v>316</v>
      </c>
      <c r="E80" s="10" t="s">
        <v>123</v>
      </c>
      <c r="F80" s="10" t="s">
        <v>124</v>
      </c>
      <c r="G80" s="9" t="s">
        <v>252</v>
      </c>
      <c r="H80" s="9" t="s">
        <v>59</v>
      </c>
      <c r="I80" s="10" t="s">
        <v>315</v>
      </c>
      <c r="J80" s="10" t="s">
        <v>126</v>
      </c>
      <c r="K80" s="12"/>
      <c r="L80" s="13"/>
      <c r="M80" s="14"/>
      <c r="N80" s="7"/>
    </row>
    <row r="81">
      <c r="A81" s="22">
        <f t="shared" si="1"/>
      </c>
      <c r="B81" s="9" t="s">
        <v>87</v>
      </c>
      <c r="C81" s="9" t="s">
        <v>317</v>
      </c>
      <c r="D81" s="25" t="s">
        <v>318</v>
      </c>
      <c r="E81" s="10" t="s">
        <v>123</v>
      </c>
      <c r="F81" s="10" t="s">
        <v>124</v>
      </c>
      <c r="G81" s="9" t="s">
        <v>252</v>
      </c>
      <c r="H81" s="9" t="s">
        <v>59</v>
      </c>
      <c r="I81" s="10" t="s">
        <v>317</v>
      </c>
      <c r="J81" s="10" t="s">
        <v>126</v>
      </c>
      <c r="K81" s="12"/>
      <c r="L81" s="13"/>
      <c r="M81" s="14"/>
      <c r="N81" s="7"/>
    </row>
    <row r="82">
      <c r="A82" s="22">
        <f t="shared" si="1"/>
      </c>
      <c r="B82" s="9" t="s">
        <v>87</v>
      </c>
      <c r="C82" s="9" t="s">
        <v>319</v>
      </c>
      <c r="D82" s="10" t="s">
        <v>320</v>
      </c>
      <c r="E82" s="10" t="s">
        <v>18</v>
      </c>
      <c r="F82" s="10" t="s">
        <v>321</v>
      </c>
      <c r="G82" s="10" t="s">
        <v>322</v>
      </c>
      <c r="H82" s="9" t="s">
        <v>59</v>
      </c>
      <c r="I82" s="10" t="s">
        <v>319</v>
      </c>
      <c r="J82" s="10" t="s">
        <v>286</v>
      </c>
      <c r="K82" s="12"/>
      <c r="L82" s="13"/>
      <c r="M82" s="14"/>
      <c r="N82" s="7"/>
    </row>
    <row r="83">
      <c r="A83" s="22">
        <f t="shared" si="1"/>
      </c>
      <c r="B83" s="9" t="s">
        <v>87</v>
      </c>
      <c r="C83" s="9" t="s">
        <v>323</v>
      </c>
      <c r="D83" s="10" t="s">
        <v>324</v>
      </c>
      <c r="E83" s="10" t="s">
        <v>18</v>
      </c>
      <c r="F83" s="10" t="s">
        <v>325</v>
      </c>
      <c r="G83" s="10" t="s">
        <v>326</v>
      </c>
      <c r="H83" s="9" t="s">
        <v>59</v>
      </c>
      <c r="I83" s="10" t="s">
        <v>323</v>
      </c>
      <c r="J83" s="10" t="s">
        <v>286</v>
      </c>
      <c r="K83" s="12"/>
      <c r="L83" s="13"/>
      <c r="M83" s="14"/>
      <c r="N83" s="7"/>
    </row>
    <row r="84">
      <c r="A84" s="22">
        <f t="shared" si="1"/>
      </c>
      <c r="B84" s="9" t="s">
        <v>87</v>
      </c>
      <c r="C84" s="9" t="s">
        <v>327</v>
      </c>
      <c r="D84" s="10" t="s">
        <v>328</v>
      </c>
      <c r="E84" s="10" t="s">
        <v>18</v>
      </c>
      <c r="F84" s="10" t="s">
        <v>329</v>
      </c>
      <c r="G84" s="10" t="s">
        <v>330</v>
      </c>
      <c r="H84" s="9" t="s">
        <v>59</v>
      </c>
      <c r="I84" s="10" t="s">
        <v>327</v>
      </c>
      <c r="J84" s="10" t="s">
        <v>286</v>
      </c>
      <c r="K84" s="12"/>
      <c r="L84" s="13"/>
      <c r="M84" s="14"/>
      <c r="N84" s="7"/>
    </row>
    <row r="85">
      <c r="A85" s="22">
        <f t="shared" si="1"/>
      </c>
      <c r="B85" s="9" t="s">
        <v>87</v>
      </c>
      <c r="C85" s="9" t="s">
        <v>331</v>
      </c>
      <c r="D85" s="10" t="s">
        <v>332</v>
      </c>
      <c r="E85" s="10" t="s">
        <v>18</v>
      </c>
      <c r="F85" s="10" t="s">
        <v>333</v>
      </c>
      <c r="G85" s="10" t="s">
        <v>334</v>
      </c>
      <c r="H85" s="9" t="s">
        <v>59</v>
      </c>
      <c r="I85" s="10" t="s">
        <v>331</v>
      </c>
      <c r="J85" s="10" t="s">
        <v>286</v>
      </c>
      <c r="K85" s="12"/>
      <c r="L85" s="13"/>
      <c r="M85" s="14"/>
      <c r="N85" s="7"/>
    </row>
    <row r="86">
      <c r="A86" s="22">
        <f t="shared" si="1"/>
      </c>
      <c r="B86" s="9" t="s">
        <v>87</v>
      </c>
      <c r="C86" s="9" t="s">
        <v>335</v>
      </c>
      <c r="D86" s="10" t="s">
        <v>336</v>
      </c>
      <c r="E86" s="10" t="s">
        <v>337</v>
      </c>
      <c r="F86" s="10" t="s">
        <v>338</v>
      </c>
      <c r="G86" s="10" t="s">
        <v>339</v>
      </c>
      <c r="H86" s="9" t="s">
        <v>59</v>
      </c>
      <c r="I86" s="10" t="s">
        <v>335</v>
      </c>
      <c r="J86" s="10" t="s">
        <v>340</v>
      </c>
      <c r="K86" s="12"/>
      <c r="L86" s="13"/>
      <c r="M86" s="14"/>
      <c r="N86" s="7"/>
    </row>
    <row r="87">
      <c r="A87" s="22">
        <f t="shared" si="1"/>
      </c>
      <c r="B87" s="9" t="s">
        <v>87</v>
      </c>
      <c r="C87" s="9" t="s">
        <v>341</v>
      </c>
      <c r="D87" s="10" t="s">
        <v>342</v>
      </c>
      <c r="E87" s="10" t="s">
        <v>18</v>
      </c>
      <c r="F87" s="10" t="s">
        <v>343</v>
      </c>
      <c r="G87" s="10" t="s">
        <v>344</v>
      </c>
      <c r="H87" s="9" t="s">
        <v>59</v>
      </c>
      <c r="I87" s="10" t="s">
        <v>341</v>
      </c>
      <c r="J87" s="10" t="s">
        <v>286</v>
      </c>
      <c r="K87" s="12"/>
      <c r="L87" s="13"/>
      <c r="M87" s="14"/>
      <c r="N87" s="7"/>
    </row>
    <row r="88">
      <c r="A88" s="22">
        <f t="shared" si="1"/>
      </c>
      <c r="B88" s="9" t="s">
        <v>255</v>
      </c>
      <c r="C88" s="9" t="s">
        <v>345</v>
      </c>
      <c r="D88" s="10" t="s">
        <v>346</v>
      </c>
      <c r="E88" s="10" t="s">
        <v>347</v>
      </c>
      <c r="F88" s="10" t="s">
        <v>348</v>
      </c>
      <c r="G88" s="9" t="s">
        <v>72</v>
      </c>
      <c r="H88" s="9" t="s">
        <v>59</v>
      </c>
      <c r="I88" s="10" t="s">
        <v>345</v>
      </c>
      <c r="J88" s="10" t="s">
        <v>349</v>
      </c>
      <c r="K88" s="12"/>
      <c r="L88" s="13"/>
      <c r="M88" s="14"/>
      <c r="N88" s="7"/>
    </row>
    <row r="89">
      <c r="A89" s="22">
        <f t="shared" si="1"/>
      </c>
      <c r="B89" s="9" t="s">
        <v>255</v>
      </c>
      <c r="C89" s="9" t="s">
        <v>350</v>
      </c>
      <c r="D89" s="10" t="s">
        <v>351</v>
      </c>
      <c r="E89" s="10" t="s">
        <v>347</v>
      </c>
      <c r="F89" s="10" t="s">
        <v>348</v>
      </c>
      <c r="G89" s="9" t="s">
        <v>72</v>
      </c>
      <c r="H89" s="9" t="s">
        <v>59</v>
      </c>
      <c r="I89" s="10" t="s">
        <v>350</v>
      </c>
      <c r="J89" s="10" t="s">
        <v>352</v>
      </c>
      <c r="K89" s="12"/>
      <c r="L89" s="13"/>
      <c r="M89" s="14"/>
      <c r="N89" s="7"/>
    </row>
    <row r="90">
      <c r="A90" s="22">
        <f t="shared" si="1"/>
      </c>
      <c r="B90" s="9" t="s">
        <v>255</v>
      </c>
      <c r="C90" s="9" t="s">
        <v>353</v>
      </c>
      <c r="D90" s="10" t="s">
        <v>354</v>
      </c>
      <c r="E90" s="10" t="s">
        <v>18</v>
      </c>
      <c r="F90" s="10" t="s">
        <v>33</v>
      </c>
      <c r="G90" s="9" t="s">
        <v>72</v>
      </c>
      <c r="H90" s="9" t="s">
        <v>59</v>
      </c>
      <c r="I90" s="10" t="s">
        <v>353</v>
      </c>
      <c r="J90" s="10" t="s">
        <v>286</v>
      </c>
      <c r="K90" s="12"/>
      <c r="L90" s="13"/>
      <c r="M90" s="14"/>
      <c r="N90" s="7"/>
    </row>
    <row r="91">
      <c r="A91" s="22">
        <f t="shared" si="1"/>
      </c>
      <c r="B91" s="9" t="s">
        <v>255</v>
      </c>
      <c r="C91" s="9" t="s">
        <v>355</v>
      </c>
      <c r="D91" s="10" t="s">
        <v>356</v>
      </c>
      <c r="E91" s="10" t="s">
        <v>347</v>
      </c>
      <c r="F91" s="10" t="s">
        <v>348</v>
      </c>
      <c r="G91" s="9" t="s">
        <v>72</v>
      </c>
      <c r="H91" s="9" t="s">
        <v>59</v>
      </c>
      <c r="I91" s="10" t="s">
        <v>355</v>
      </c>
      <c r="J91" s="10" t="s">
        <v>352</v>
      </c>
      <c r="K91" s="12"/>
      <c r="L91" s="13"/>
      <c r="M91" s="14"/>
      <c r="N91" s="7"/>
    </row>
    <row r="92">
      <c r="A92" s="22">
        <f t="shared" si="1"/>
      </c>
      <c r="B92" s="9" t="s">
        <v>255</v>
      </c>
      <c r="C92" s="9" t="s">
        <v>357</v>
      </c>
      <c r="D92" s="10" t="s">
        <v>358</v>
      </c>
      <c r="E92" s="10" t="s">
        <v>347</v>
      </c>
      <c r="F92" s="10" t="s">
        <v>348</v>
      </c>
      <c r="G92" s="9" t="s">
        <v>72</v>
      </c>
      <c r="H92" s="9" t="s">
        <v>59</v>
      </c>
      <c r="I92" s="10" t="s">
        <v>357</v>
      </c>
      <c r="J92" s="10" t="s">
        <v>352</v>
      </c>
      <c r="K92" s="12"/>
      <c r="L92" s="13"/>
      <c r="M92" s="14"/>
      <c r="N92" s="7"/>
    </row>
    <row r="93">
      <c r="A93" s="22">
        <f t="shared" si="1"/>
      </c>
      <c r="B93" s="9" t="s">
        <v>255</v>
      </c>
      <c r="C93" s="9" t="s">
        <v>359</v>
      </c>
      <c r="D93" s="10" t="s">
        <v>360</v>
      </c>
      <c r="E93" s="10" t="s">
        <v>361</v>
      </c>
      <c r="F93" s="10" t="s">
        <v>362</v>
      </c>
      <c r="G93" s="10" t="s">
        <v>363</v>
      </c>
      <c r="H93" s="9" t="s">
        <v>59</v>
      </c>
      <c r="I93" s="10" t="s">
        <v>359</v>
      </c>
      <c r="J93" s="10" t="s">
        <v>364</v>
      </c>
      <c r="K93" s="12"/>
      <c r="L93" s="13"/>
      <c r="M93" s="14"/>
      <c r="N93" s="7"/>
    </row>
    <row r="94">
      <c r="A94" s="22">
        <f t="shared" si="1"/>
      </c>
      <c r="B94" s="9" t="s">
        <v>255</v>
      </c>
      <c r="C94" s="9" t="s">
        <v>365</v>
      </c>
      <c r="D94" s="10" t="s">
        <v>366</v>
      </c>
      <c r="E94" s="10" t="s">
        <v>347</v>
      </c>
      <c r="F94" s="10" t="s">
        <v>348</v>
      </c>
      <c r="G94" s="10" t="s">
        <v>28</v>
      </c>
      <c r="H94" s="9" t="s">
        <v>59</v>
      </c>
      <c r="I94" s="10" t="s">
        <v>365</v>
      </c>
      <c r="J94" s="10" t="s">
        <v>352</v>
      </c>
      <c r="K94" s="12"/>
      <c r="L94" s="13"/>
      <c r="M94" s="14"/>
      <c r="N94" s="7"/>
    </row>
    <row r="95">
      <c r="A95" s="22">
        <f t="shared" si="1"/>
      </c>
      <c r="B95" s="9" t="s">
        <v>255</v>
      </c>
      <c r="C95" s="9" t="s">
        <v>367</v>
      </c>
      <c r="D95" s="10" t="s">
        <v>368</v>
      </c>
      <c r="E95" s="10" t="s">
        <v>229</v>
      </c>
      <c r="F95" s="10" t="s">
        <v>289</v>
      </c>
      <c r="G95" s="10" t="s">
        <v>28</v>
      </c>
      <c r="H95" s="9" t="s">
        <v>59</v>
      </c>
      <c r="I95" s="10" t="s">
        <v>367</v>
      </c>
      <c r="J95" s="10" t="s">
        <v>40</v>
      </c>
      <c r="K95" s="12"/>
      <c r="L95" s="13"/>
      <c r="M95" s="14"/>
      <c r="N95" s="7"/>
    </row>
    <row r="96">
      <c r="A96" s="22">
        <f t="shared" si="1"/>
      </c>
      <c r="B96" s="9" t="s">
        <v>255</v>
      </c>
      <c r="C96" s="9" t="s">
        <v>369</v>
      </c>
      <c r="D96" s="10" t="s">
        <v>370</v>
      </c>
      <c r="E96" s="10" t="s">
        <v>123</v>
      </c>
      <c r="F96" s="10" t="s">
        <v>124</v>
      </c>
      <c r="G96" s="10" t="s">
        <v>371</v>
      </c>
      <c r="H96" s="9" t="s">
        <v>59</v>
      </c>
      <c r="I96" s="10" t="s">
        <v>369</v>
      </c>
      <c r="J96" s="10" t="s">
        <v>126</v>
      </c>
      <c r="K96" s="12"/>
      <c r="L96" s="13"/>
      <c r="M96" s="14"/>
      <c r="N96" s="7"/>
    </row>
    <row r="97">
      <c r="A97" s="22">
        <f t="shared" si="1"/>
      </c>
      <c r="B97" s="9" t="s">
        <v>255</v>
      </c>
      <c r="C97" s="9" t="s">
        <v>372</v>
      </c>
      <c r="D97" s="10" t="s">
        <v>373</v>
      </c>
      <c r="E97" s="10" t="s">
        <v>374</v>
      </c>
      <c r="F97" s="10" t="s">
        <v>375</v>
      </c>
      <c r="G97" s="9" t="s">
        <v>72</v>
      </c>
      <c r="H97" s="9" t="s">
        <v>59</v>
      </c>
      <c r="I97" s="10" t="s">
        <v>372</v>
      </c>
      <c r="J97" s="10" t="s">
        <v>376</v>
      </c>
      <c r="K97" s="12"/>
      <c r="L97" s="13"/>
      <c r="M97" s="14"/>
      <c r="N97" s="7"/>
    </row>
    <row r="98">
      <c r="A98" s="22">
        <f t="shared" si="1"/>
      </c>
      <c r="B98" s="9" t="s">
        <v>255</v>
      </c>
      <c r="C98" s="9" t="s">
        <v>377</v>
      </c>
      <c r="D98" s="10" t="s">
        <v>378</v>
      </c>
      <c r="E98" s="10" t="s">
        <v>18</v>
      </c>
      <c r="F98" s="10" t="s">
        <v>379</v>
      </c>
      <c r="G98" s="9" t="s">
        <v>72</v>
      </c>
      <c r="H98" s="9" t="s">
        <v>59</v>
      </c>
      <c r="I98" s="10" t="s">
        <v>377</v>
      </c>
      <c r="J98" s="10" t="s">
        <v>286</v>
      </c>
      <c r="K98" s="12"/>
      <c r="L98" s="13"/>
      <c r="M98" s="14"/>
      <c r="N98" s="7"/>
    </row>
    <row r="99">
      <c r="A99" s="22">
        <f t="shared" si="1"/>
      </c>
      <c r="B99" s="9" t="s">
        <v>255</v>
      </c>
      <c r="C99" s="9" t="s">
        <v>380</v>
      </c>
      <c r="D99" s="10" t="s">
        <v>381</v>
      </c>
      <c r="E99" s="10" t="s">
        <v>239</v>
      </c>
      <c r="F99" s="10" t="s">
        <v>382</v>
      </c>
      <c r="G99" s="9" t="s">
        <v>72</v>
      </c>
      <c r="H99" s="9" t="s">
        <v>21</v>
      </c>
      <c r="I99" s="11" t="s">
        <v>95</v>
      </c>
      <c r="J99" s="10" t="s">
        <v>383</v>
      </c>
      <c r="K99" s="12"/>
      <c r="L99" s="13"/>
      <c r="M99" s="14"/>
      <c r="N99" s="7"/>
    </row>
    <row r="100">
      <c r="A100" s="22">
        <f t="shared" si="1"/>
      </c>
      <c r="B100" s="9" t="s">
        <v>255</v>
      </c>
      <c r="C100" s="9" t="s">
        <v>384</v>
      </c>
      <c r="D100" s="10" t="s">
        <v>385</v>
      </c>
      <c r="E100" s="10" t="s">
        <v>123</v>
      </c>
      <c r="F100" s="10" t="s">
        <v>124</v>
      </c>
      <c r="G100" s="10" t="s">
        <v>386</v>
      </c>
      <c r="H100" s="9" t="s">
        <v>59</v>
      </c>
      <c r="I100" s="10" t="s">
        <v>384</v>
      </c>
      <c r="J100" s="10" t="s">
        <v>126</v>
      </c>
      <c r="K100" s="12"/>
      <c r="L100" s="13"/>
      <c r="M100" s="14"/>
      <c r="N100" s="7"/>
    </row>
    <row r="101">
      <c r="A101" s="15">
        <f t="shared" si="1"/>
      </c>
      <c r="B101" s="16" t="s">
        <v>255</v>
      </c>
      <c r="C101" s="16" t="s">
        <v>185</v>
      </c>
      <c r="D101" s="17" t="s">
        <v>181</v>
      </c>
      <c r="E101" s="17" t="s">
        <v>387</v>
      </c>
      <c r="F101" s="17" t="s">
        <v>388</v>
      </c>
      <c r="G101" s="16" t="s">
        <v>72</v>
      </c>
      <c r="H101" s="16" t="s">
        <v>59</v>
      </c>
      <c r="I101" s="17" t="s">
        <v>185</v>
      </c>
      <c r="J101" s="17" t="s">
        <v>389</v>
      </c>
      <c r="K101" s="18"/>
      <c r="L101" s="19"/>
      <c r="M101" s="20" t="s">
        <v>390</v>
      </c>
      <c r="N101" s="21"/>
      <c r="O101" s="21"/>
      <c r="P101" s="21"/>
      <c r="Q101" s="21"/>
      <c r="R101" s="21"/>
    </row>
    <row r="102">
      <c r="A102" s="22">
        <f t="shared" si="1"/>
      </c>
      <c r="B102" s="9" t="s">
        <v>255</v>
      </c>
      <c r="C102" s="9" t="s">
        <v>391</v>
      </c>
      <c r="D102" s="10" t="s">
        <v>392</v>
      </c>
      <c r="E102" s="10" t="s">
        <v>68</v>
      </c>
      <c r="F102" s="10" t="s">
        <v>393</v>
      </c>
      <c r="G102" s="10" t="s">
        <v>394</v>
      </c>
      <c r="H102" s="9" t="s">
        <v>59</v>
      </c>
      <c r="I102" s="10" t="s">
        <v>391</v>
      </c>
      <c r="J102" s="10" t="s">
        <v>395</v>
      </c>
      <c r="K102" s="12"/>
      <c r="L102" s="13"/>
      <c r="M102" s="14"/>
      <c r="N102" s="7"/>
    </row>
    <row r="103">
      <c r="A103" s="22">
        <f t="shared" si="1"/>
      </c>
      <c r="B103" s="9" t="s">
        <v>255</v>
      </c>
      <c r="C103" s="9" t="s">
        <v>396</v>
      </c>
      <c r="D103" s="10" t="s">
        <v>397</v>
      </c>
      <c r="E103" s="10" t="s">
        <v>68</v>
      </c>
      <c r="F103" s="10" t="s">
        <v>398</v>
      </c>
      <c r="G103" s="10" t="s">
        <v>394</v>
      </c>
      <c r="H103" s="9" t="s">
        <v>59</v>
      </c>
      <c r="I103" s="10" t="s">
        <v>396</v>
      </c>
      <c r="J103" s="10" t="s">
        <v>399</v>
      </c>
      <c r="K103" s="12"/>
      <c r="L103" s="13"/>
      <c r="M103" s="14"/>
      <c r="N103" s="7"/>
    </row>
    <row r="104">
      <c r="A104" s="22">
        <f t="shared" si="1"/>
      </c>
      <c r="B104" s="9" t="s">
        <v>255</v>
      </c>
      <c r="C104" s="9" t="s">
        <v>400</v>
      </c>
      <c r="D104" s="10" t="s">
        <v>401</v>
      </c>
      <c r="E104" s="10" t="s">
        <v>239</v>
      </c>
      <c r="F104" s="10" t="s">
        <v>382</v>
      </c>
      <c r="G104" s="10" t="s">
        <v>28</v>
      </c>
      <c r="H104" s="9" t="s">
        <v>21</v>
      </c>
      <c r="I104" s="11" t="s">
        <v>95</v>
      </c>
      <c r="J104" s="10" t="s">
        <v>402</v>
      </c>
      <c r="K104" s="12"/>
      <c r="L104" s="13"/>
      <c r="M104" s="14"/>
      <c r="N104" s="7"/>
    </row>
    <row r="105">
      <c r="A105" s="22">
        <f t="shared" si="1"/>
      </c>
      <c r="B105" s="9" t="s">
        <v>255</v>
      </c>
      <c r="C105" s="9" t="s">
        <v>403</v>
      </c>
      <c r="D105" s="10" t="s">
        <v>404</v>
      </c>
      <c r="E105" s="10" t="s">
        <v>123</v>
      </c>
      <c r="F105" s="10" t="s">
        <v>124</v>
      </c>
      <c r="G105" s="10" t="s">
        <v>371</v>
      </c>
      <c r="H105" s="9" t="s">
        <v>59</v>
      </c>
      <c r="I105" s="10" t="s">
        <v>403</v>
      </c>
      <c r="J105" s="10" t="s">
        <v>126</v>
      </c>
      <c r="K105" s="12"/>
      <c r="L105" s="13"/>
      <c r="M105" s="14"/>
      <c r="N105" s="7"/>
    </row>
    <row r="106">
      <c r="A106" s="22">
        <f t="shared" si="1"/>
      </c>
      <c r="B106" s="9" t="s">
        <v>255</v>
      </c>
      <c r="C106" s="9" t="s">
        <v>405</v>
      </c>
      <c r="D106" s="10" t="s">
        <v>406</v>
      </c>
      <c r="E106" s="10" t="s">
        <v>123</v>
      </c>
      <c r="F106" s="10" t="s">
        <v>124</v>
      </c>
      <c r="G106" s="10" t="s">
        <v>371</v>
      </c>
      <c r="H106" s="9" t="s">
        <v>59</v>
      </c>
      <c r="I106" s="10" t="s">
        <v>405</v>
      </c>
      <c r="J106" s="10" t="s">
        <v>126</v>
      </c>
      <c r="K106" s="12"/>
      <c r="L106" s="13"/>
      <c r="M106" s="14"/>
      <c r="N106" s="7"/>
    </row>
    <row r="107">
      <c r="A107" s="22">
        <f t="shared" si="1"/>
      </c>
      <c r="B107" s="16" t="s">
        <v>255</v>
      </c>
      <c r="C107" s="16" t="s">
        <v>407</v>
      </c>
      <c r="D107" s="17" t="s">
        <v>408</v>
      </c>
      <c r="E107" s="17" t="s">
        <v>239</v>
      </c>
      <c r="F107" s="17" t="s">
        <v>409</v>
      </c>
      <c r="G107" s="17" t="s">
        <v>28</v>
      </c>
      <c r="H107" s="16" t="s">
        <v>21</v>
      </c>
      <c r="I107" s="30" t="s">
        <v>95</v>
      </c>
      <c r="J107" s="17" t="s">
        <v>410</v>
      </c>
      <c r="K107" s="18"/>
      <c r="L107" s="19"/>
      <c r="M107" s="20"/>
      <c r="N107" s="21"/>
      <c r="O107" s="21"/>
      <c r="P107" s="21"/>
      <c r="Q107" s="21"/>
      <c r="R107" s="21"/>
    </row>
    <row r="108">
      <c r="A108" s="22">
        <f t="shared" si="1"/>
      </c>
      <c r="B108" s="9" t="s">
        <v>255</v>
      </c>
      <c r="C108" s="9" t="s">
        <v>411</v>
      </c>
      <c r="D108" s="10" t="s">
        <v>412</v>
      </c>
      <c r="E108" s="10" t="s">
        <v>123</v>
      </c>
      <c r="F108" s="10" t="s">
        <v>124</v>
      </c>
      <c r="G108" s="10" t="s">
        <v>386</v>
      </c>
      <c r="H108" s="9" t="s">
        <v>59</v>
      </c>
      <c r="I108" s="10" t="s">
        <v>411</v>
      </c>
      <c r="J108" s="10" t="s">
        <v>126</v>
      </c>
      <c r="K108" s="12"/>
      <c r="L108" s="13"/>
      <c r="M108" s="14"/>
      <c r="N108" s="7"/>
    </row>
    <row r="109">
      <c r="A109" s="22">
        <f t="shared" si="1"/>
      </c>
      <c r="B109" s="9" t="s">
        <v>255</v>
      </c>
      <c r="C109" s="9" t="s">
        <v>413</v>
      </c>
      <c r="D109" s="10" t="s">
        <v>414</v>
      </c>
      <c r="E109" s="10" t="s">
        <v>123</v>
      </c>
      <c r="F109" s="10" t="s">
        <v>124</v>
      </c>
      <c r="G109" s="10" t="s">
        <v>371</v>
      </c>
      <c r="H109" s="9" t="s">
        <v>59</v>
      </c>
      <c r="I109" s="10" t="s">
        <v>413</v>
      </c>
      <c r="J109" s="10" t="s">
        <v>126</v>
      </c>
      <c r="K109" s="12"/>
      <c r="L109" s="13"/>
      <c r="M109" s="14"/>
      <c r="N109" s="7"/>
    </row>
    <row r="110">
      <c r="A110" s="22">
        <f t="shared" si="1"/>
      </c>
      <c r="B110" s="9" t="s">
        <v>255</v>
      </c>
      <c r="C110" s="9" t="s">
        <v>415</v>
      </c>
      <c r="D110" s="10" t="s">
        <v>416</v>
      </c>
      <c r="E110" s="10" t="s">
        <v>123</v>
      </c>
      <c r="F110" s="10" t="s">
        <v>124</v>
      </c>
      <c r="G110" s="10" t="s">
        <v>386</v>
      </c>
      <c r="H110" s="9" t="s">
        <v>59</v>
      </c>
      <c r="I110" s="10" t="s">
        <v>415</v>
      </c>
      <c r="J110" s="10" t="s">
        <v>126</v>
      </c>
      <c r="K110" s="12"/>
      <c r="L110" s="13"/>
      <c r="M110" s="14"/>
      <c r="N110" s="7"/>
    </row>
    <row r="111">
      <c r="A111" s="22">
        <f t="shared" si="1"/>
      </c>
      <c r="B111" s="9" t="s">
        <v>255</v>
      </c>
      <c r="C111" s="9" t="s">
        <v>263</v>
      </c>
      <c r="D111" s="10" t="s">
        <v>417</v>
      </c>
      <c r="E111" s="10" t="s">
        <v>418</v>
      </c>
      <c r="F111" s="10" t="s">
        <v>419</v>
      </c>
      <c r="G111" s="9" t="s">
        <v>72</v>
      </c>
      <c r="H111" s="9" t="s">
        <v>59</v>
      </c>
      <c r="I111" s="10" t="s">
        <v>263</v>
      </c>
      <c r="J111" s="10" t="s">
        <v>395</v>
      </c>
      <c r="K111" s="12"/>
      <c r="L111" s="13"/>
      <c r="M111" s="14"/>
      <c r="N111" s="7"/>
    </row>
    <row r="112">
      <c r="A112" s="22">
        <f t="shared" si="1"/>
      </c>
      <c r="B112" s="9" t="s">
        <v>255</v>
      </c>
      <c r="C112" s="9" t="s">
        <v>265</v>
      </c>
      <c r="D112" s="10" t="s">
        <v>420</v>
      </c>
      <c r="E112" s="10" t="s">
        <v>68</v>
      </c>
      <c r="F112" s="10" t="s">
        <v>421</v>
      </c>
      <c r="G112" s="9" t="s">
        <v>72</v>
      </c>
      <c r="H112" s="9" t="s">
        <v>59</v>
      </c>
      <c r="I112" s="10" t="s">
        <v>265</v>
      </c>
      <c r="J112" s="10" t="s">
        <v>268</v>
      </c>
      <c r="K112" s="12"/>
      <c r="L112" s="13"/>
      <c r="M112" s="14"/>
      <c r="N112" s="7"/>
    </row>
    <row r="113">
      <c r="A113" s="22">
        <f t="shared" si="1"/>
      </c>
      <c r="B113" s="9" t="s">
        <v>255</v>
      </c>
      <c r="C113" s="9" t="s">
        <v>269</v>
      </c>
      <c r="D113" s="10" t="s">
        <v>422</v>
      </c>
      <c r="E113" s="10" t="s">
        <v>239</v>
      </c>
      <c r="F113" s="10" t="s">
        <v>423</v>
      </c>
      <c r="G113" s="10" t="s">
        <v>28</v>
      </c>
      <c r="H113" s="9" t="s">
        <v>21</v>
      </c>
      <c r="I113" s="11" t="s">
        <v>95</v>
      </c>
      <c r="J113" s="10" t="s">
        <v>424</v>
      </c>
      <c r="K113" s="12"/>
      <c r="L113" s="13"/>
      <c r="M113" s="14"/>
      <c r="N113" s="7"/>
    </row>
    <row r="114">
      <c r="A114" s="22">
        <f t="shared" si="1"/>
      </c>
      <c r="B114" s="9" t="s">
        <v>255</v>
      </c>
      <c r="C114" s="9" t="s">
        <v>425</v>
      </c>
      <c r="D114" s="10" t="s">
        <v>426</v>
      </c>
      <c r="E114" s="10" t="s">
        <v>68</v>
      </c>
      <c r="F114" s="10" t="s">
        <v>421</v>
      </c>
      <c r="G114" s="9" t="s">
        <v>72</v>
      </c>
      <c r="H114" s="9" t="s">
        <v>59</v>
      </c>
      <c r="I114" s="10" t="s">
        <v>425</v>
      </c>
      <c r="J114" s="10" t="s">
        <v>268</v>
      </c>
      <c r="K114" s="12"/>
      <c r="L114" s="13"/>
      <c r="M114" s="14"/>
      <c r="N114" s="7"/>
    </row>
    <row r="115">
      <c r="A115" s="15">
        <f t="shared" si="1"/>
      </c>
      <c r="B115" s="16" t="s">
        <v>255</v>
      </c>
      <c r="C115" s="16" t="s">
        <v>427</v>
      </c>
      <c r="D115" s="17" t="s">
        <v>209</v>
      </c>
      <c r="E115" s="17" t="s">
        <v>68</v>
      </c>
      <c r="F115" s="17" t="s">
        <v>428</v>
      </c>
      <c r="G115" s="16" t="s">
        <v>72</v>
      </c>
      <c r="H115" s="16" t="s">
        <v>59</v>
      </c>
      <c r="I115" s="17" t="s">
        <v>429</v>
      </c>
      <c r="J115" s="17" t="s">
        <v>430</v>
      </c>
      <c r="K115" s="18"/>
      <c r="L115" s="19"/>
      <c r="M115" s="20"/>
      <c r="N115" s="21"/>
      <c r="O115" s="21"/>
      <c r="P115" s="21"/>
      <c r="Q115" s="21"/>
      <c r="R115" s="21"/>
    </row>
    <row r="116">
      <c r="A116" s="22">
        <f t="shared" si="1"/>
      </c>
      <c r="B116" s="9" t="s">
        <v>255</v>
      </c>
      <c r="C116" s="9" t="s">
        <v>431</v>
      </c>
      <c r="D116" s="10" t="s">
        <v>432</v>
      </c>
      <c r="E116" s="10" t="s">
        <v>68</v>
      </c>
      <c r="F116" s="10" t="s">
        <v>393</v>
      </c>
      <c r="G116" s="9" t="s">
        <v>72</v>
      </c>
      <c r="H116" s="9" t="s">
        <v>59</v>
      </c>
      <c r="I116" s="10" t="s">
        <v>431</v>
      </c>
      <c r="J116" s="10" t="s">
        <v>395</v>
      </c>
      <c r="K116" s="12"/>
      <c r="L116" s="13"/>
      <c r="M116" s="14"/>
      <c r="N116" s="7"/>
    </row>
    <row r="117">
      <c r="A117" s="22">
        <f t="shared" si="1"/>
      </c>
      <c r="B117" s="9" t="s">
        <v>255</v>
      </c>
      <c r="C117" s="9" t="s">
        <v>433</v>
      </c>
      <c r="D117" s="10" t="s">
        <v>434</v>
      </c>
      <c r="E117" s="10" t="s">
        <v>68</v>
      </c>
      <c r="F117" s="10" t="s">
        <v>428</v>
      </c>
      <c r="G117" s="9" t="s">
        <v>72</v>
      </c>
      <c r="H117" s="9" t="s">
        <v>59</v>
      </c>
      <c r="I117" s="10" t="s">
        <v>435</v>
      </c>
      <c r="J117" s="10" t="s">
        <v>430</v>
      </c>
      <c r="K117" s="12"/>
      <c r="L117" s="13"/>
      <c r="M117" s="14"/>
      <c r="N117" s="7"/>
    </row>
    <row r="118">
      <c r="A118" s="22">
        <f t="shared" si="1"/>
      </c>
      <c r="B118" s="9" t="s">
        <v>255</v>
      </c>
      <c r="C118" s="9" t="s">
        <v>66</v>
      </c>
      <c r="D118" s="10" t="s">
        <v>436</v>
      </c>
      <c r="E118" s="10" t="s">
        <v>68</v>
      </c>
      <c r="F118" s="10" t="s">
        <v>393</v>
      </c>
      <c r="G118" s="10" t="s">
        <v>28</v>
      </c>
      <c r="H118" s="9" t="s">
        <v>59</v>
      </c>
      <c r="I118" s="10" t="s">
        <v>66</v>
      </c>
      <c r="J118" s="10" t="s">
        <v>395</v>
      </c>
      <c r="K118" s="12"/>
      <c r="L118" s="13"/>
      <c r="M118" s="14"/>
      <c r="N118" s="7"/>
    </row>
    <row r="119">
      <c r="A119" s="22">
        <f t="shared" si="1"/>
      </c>
      <c r="B119" s="9" t="s">
        <v>255</v>
      </c>
      <c r="C119" s="9" t="s">
        <v>437</v>
      </c>
      <c r="D119" s="10" t="s">
        <v>438</v>
      </c>
      <c r="E119" s="10" t="s">
        <v>68</v>
      </c>
      <c r="F119" s="10" t="s">
        <v>428</v>
      </c>
      <c r="G119" s="10" t="s">
        <v>28</v>
      </c>
      <c r="H119" s="9" t="s">
        <v>59</v>
      </c>
      <c r="I119" s="10" t="s">
        <v>439</v>
      </c>
      <c r="J119" s="10" t="s">
        <v>430</v>
      </c>
      <c r="K119" s="12"/>
      <c r="L119" s="13"/>
      <c r="M119" s="14"/>
      <c r="N119" s="7"/>
    </row>
    <row r="120">
      <c r="A120" s="22">
        <f t="shared" si="1"/>
      </c>
      <c r="B120" s="9" t="s">
        <v>87</v>
      </c>
      <c r="C120" s="9" t="s">
        <v>440</v>
      </c>
      <c r="D120" s="25" t="s">
        <v>441</v>
      </c>
      <c r="E120" s="10" t="s">
        <v>442</v>
      </c>
      <c r="F120" s="10" t="s">
        <v>443</v>
      </c>
      <c r="G120" s="9" t="s">
        <v>252</v>
      </c>
      <c r="H120" s="9" t="s">
        <v>59</v>
      </c>
      <c r="I120" s="10" t="s">
        <v>444</v>
      </c>
      <c r="J120" s="10" t="s">
        <v>445</v>
      </c>
      <c r="K120" s="12"/>
      <c r="L120" s="13"/>
      <c r="M120" s="14"/>
      <c r="N120" s="7"/>
    </row>
    <row r="121">
      <c r="A121" s="22">
        <f t="shared" si="1"/>
      </c>
      <c r="B121" s="9" t="s">
        <v>87</v>
      </c>
      <c r="C121" s="9" t="s">
        <v>446</v>
      </c>
      <c r="D121" s="25" t="s">
        <v>447</v>
      </c>
      <c r="E121" s="10" t="s">
        <v>448</v>
      </c>
      <c r="F121" s="10" t="s">
        <v>449</v>
      </c>
      <c r="G121" s="9" t="s">
        <v>252</v>
      </c>
      <c r="H121" s="9" t="s">
        <v>59</v>
      </c>
      <c r="I121" s="10" t="s">
        <v>450</v>
      </c>
      <c r="J121" s="10" t="s">
        <v>451</v>
      </c>
      <c r="K121" s="12"/>
      <c r="L121" s="13"/>
      <c r="M121" s="14"/>
      <c r="N121" s="7"/>
    </row>
    <row r="122">
      <c r="A122" s="22">
        <f t="shared" si="1"/>
      </c>
      <c r="B122" s="9" t="s">
        <v>255</v>
      </c>
      <c r="C122" s="9" t="s">
        <v>452</v>
      </c>
      <c r="D122" s="10" t="s">
        <v>453</v>
      </c>
      <c r="E122" s="10" t="s">
        <v>18</v>
      </c>
      <c r="F122" s="10" t="s">
        <v>454</v>
      </c>
      <c r="G122" s="9" t="s">
        <v>72</v>
      </c>
      <c r="H122" s="9" t="s">
        <v>59</v>
      </c>
      <c r="I122" s="10" t="s">
        <v>452</v>
      </c>
      <c r="J122" s="10" t="s">
        <v>286</v>
      </c>
      <c r="K122" s="12"/>
      <c r="L122" s="13"/>
      <c r="M122" s="14"/>
      <c r="N122" s="7"/>
    </row>
    <row r="123">
      <c r="A123" s="22">
        <f t="shared" si="1"/>
      </c>
      <c r="B123" s="9" t="s">
        <v>255</v>
      </c>
      <c r="C123" s="9" t="s">
        <v>455</v>
      </c>
      <c r="D123" s="10" t="s">
        <v>456</v>
      </c>
      <c r="E123" s="10" t="s">
        <v>18</v>
      </c>
      <c r="F123" s="10" t="s">
        <v>457</v>
      </c>
      <c r="G123" s="9" t="s">
        <v>72</v>
      </c>
      <c r="H123" s="9" t="s">
        <v>59</v>
      </c>
      <c r="I123" s="10" t="s">
        <v>455</v>
      </c>
      <c r="J123" s="10" t="s">
        <v>458</v>
      </c>
      <c r="K123" s="12"/>
      <c r="L123" s="13"/>
      <c r="M123" s="14"/>
      <c r="N123" s="7"/>
    </row>
    <row r="124">
      <c r="A124" s="22">
        <f t="shared" si="1"/>
      </c>
      <c r="B124" s="9" t="s">
        <v>255</v>
      </c>
      <c r="C124" s="9" t="s">
        <v>459</v>
      </c>
      <c r="D124" s="10" t="s">
        <v>460</v>
      </c>
      <c r="E124" s="10" t="s">
        <v>347</v>
      </c>
      <c r="F124" s="10" t="s">
        <v>461</v>
      </c>
      <c r="G124" s="10" t="s">
        <v>28</v>
      </c>
      <c r="H124" s="9" t="s">
        <v>59</v>
      </c>
      <c r="I124" s="10" t="s">
        <v>459</v>
      </c>
      <c r="J124" s="10" t="s">
        <v>349</v>
      </c>
      <c r="K124" s="12"/>
      <c r="L124" s="13"/>
      <c r="M124" s="14"/>
      <c r="N124" s="7"/>
    </row>
    <row r="125">
      <c r="A125" s="22">
        <f t="shared" si="1"/>
      </c>
      <c r="B125" s="9" t="s">
        <v>255</v>
      </c>
      <c r="C125" s="9" t="s">
        <v>154</v>
      </c>
      <c r="D125" s="10" t="s">
        <v>462</v>
      </c>
      <c r="E125" s="10" t="s">
        <v>463</v>
      </c>
      <c r="F125" s="10" t="s">
        <v>464</v>
      </c>
      <c r="G125" s="10" t="s">
        <v>465</v>
      </c>
      <c r="H125" s="9" t="s">
        <v>59</v>
      </c>
      <c r="I125" s="10" t="s">
        <v>154</v>
      </c>
      <c r="J125" s="10" t="s">
        <v>466</v>
      </c>
      <c r="K125" s="12"/>
      <c r="L125" s="13"/>
      <c r="M125" s="14"/>
      <c r="N125" s="7"/>
    </row>
    <row r="126">
      <c r="A126" s="22">
        <f t="shared" si="1"/>
      </c>
      <c r="B126" s="9" t="s">
        <v>255</v>
      </c>
      <c r="C126" s="9" t="s">
        <v>160</v>
      </c>
      <c r="D126" s="10" t="s">
        <v>467</v>
      </c>
      <c r="E126" s="10" t="s">
        <v>18</v>
      </c>
      <c r="F126" s="10" t="s">
        <v>468</v>
      </c>
      <c r="G126" s="9" t="s">
        <v>72</v>
      </c>
      <c r="H126" s="9" t="s">
        <v>59</v>
      </c>
      <c r="I126" s="10" t="s">
        <v>160</v>
      </c>
      <c r="J126" s="10" t="s">
        <v>286</v>
      </c>
      <c r="K126" s="12"/>
      <c r="L126" s="13"/>
      <c r="M126" s="14"/>
      <c r="N126" s="7"/>
    </row>
    <row r="127">
      <c r="A127" s="22">
        <f t="shared" si="1"/>
      </c>
      <c r="B127" s="9" t="s">
        <v>255</v>
      </c>
      <c r="C127" s="9" t="s">
        <v>359</v>
      </c>
      <c r="D127" s="10" t="s">
        <v>360</v>
      </c>
      <c r="E127" s="10" t="s">
        <v>361</v>
      </c>
      <c r="F127" s="10" t="s">
        <v>469</v>
      </c>
      <c r="G127" s="10" t="s">
        <v>470</v>
      </c>
      <c r="H127" s="9" t="s">
        <v>59</v>
      </c>
      <c r="I127" s="10" t="s">
        <v>359</v>
      </c>
      <c r="J127" s="10" t="s">
        <v>364</v>
      </c>
      <c r="K127" s="12"/>
      <c r="L127" s="13"/>
      <c r="M127" s="14"/>
      <c r="N127" s="7"/>
    </row>
    <row r="128">
      <c r="A128" s="22">
        <f t="shared" si="1"/>
      </c>
      <c r="B128" s="9" t="s">
        <v>255</v>
      </c>
      <c r="C128" s="9" t="s">
        <v>471</v>
      </c>
      <c r="D128" s="10" t="s">
        <v>366</v>
      </c>
      <c r="E128" s="10" t="s">
        <v>347</v>
      </c>
      <c r="F128" s="10" t="s">
        <v>472</v>
      </c>
      <c r="G128" s="10" t="s">
        <v>28</v>
      </c>
      <c r="H128" s="9" t="s">
        <v>59</v>
      </c>
      <c r="I128" s="10" t="s">
        <v>471</v>
      </c>
      <c r="J128" s="10" t="s">
        <v>352</v>
      </c>
      <c r="K128" s="12"/>
      <c r="L128" s="13"/>
      <c r="M128" s="14"/>
      <c r="N128" s="7"/>
    </row>
    <row r="129">
      <c r="A129" s="22">
        <f t="shared" si="1"/>
      </c>
      <c r="B129" s="9" t="s">
        <v>255</v>
      </c>
      <c r="C129" s="9" t="s">
        <v>367</v>
      </c>
      <c r="D129" s="10" t="s">
        <v>368</v>
      </c>
      <c r="E129" s="10" t="s">
        <v>229</v>
      </c>
      <c r="F129" s="10" t="s">
        <v>289</v>
      </c>
      <c r="G129" s="10" t="s">
        <v>28</v>
      </c>
      <c r="H129" s="9" t="s">
        <v>59</v>
      </c>
      <c r="I129" s="10" t="s">
        <v>367</v>
      </c>
      <c r="J129" s="10" t="s">
        <v>40</v>
      </c>
      <c r="K129" s="12"/>
      <c r="L129" s="13"/>
      <c r="M129" s="14"/>
      <c r="N129" s="7"/>
    </row>
    <row r="130">
      <c r="A130" s="22">
        <f t="shared" si="1"/>
      </c>
      <c r="B130" s="9" t="s">
        <v>255</v>
      </c>
      <c r="C130" s="9" t="s">
        <v>473</v>
      </c>
      <c r="D130" s="10" t="s">
        <v>381</v>
      </c>
      <c r="E130" s="10" t="s">
        <v>239</v>
      </c>
      <c r="F130" s="10" t="s">
        <v>423</v>
      </c>
      <c r="G130" s="10" t="s">
        <v>474</v>
      </c>
      <c r="H130" s="9" t="s">
        <v>21</v>
      </c>
      <c r="I130" s="11" t="s">
        <v>95</v>
      </c>
      <c r="J130" s="10" t="s">
        <v>383</v>
      </c>
      <c r="K130" s="12"/>
      <c r="L130" s="13"/>
      <c r="M130" s="14"/>
      <c r="N130" s="7"/>
    </row>
    <row r="131">
      <c r="A131" s="22">
        <f t="shared" si="1"/>
      </c>
      <c r="B131" s="9" t="s">
        <v>255</v>
      </c>
      <c r="C131" s="9" t="s">
        <v>407</v>
      </c>
      <c r="D131" s="10" t="s">
        <v>408</v>
      </c>
      <c r="E131" s="10" t="s">
        <v>239</v>
      </c>
      <c r="F131" s="10" t="s">
        <v>409</v>
      </c>
      <c r="G131" s="10" t="s">
        <v>28</v>
      </c>
      <c r="H131" s="9" t="s">
        <v>21</v>
      </c>
      <c r="I131" s="11" t="s">
        <v>95</v>
      </c>
      <c r="J131" s="10" t="s">
        <v>410</v>
      </c>
      <c r="K131" s="12"/>
      <c r="L131" s="13"/>
      <c r="M131" s="14"/>
      <c r="N131" s="7"/>
    </row>
    <row r="132">
      <c r="A132" s="22">
        <f t="shared" si="1"/>
      </c>
      <c r="B132" s="9" t="s">
        <v>255</v>
      </c>
      <c r="C132" s="9" t="s">
        <v>413</v>
      </c>
      <c r="D132" s="10" t="s">
        <v>414</v>
      </c>
      <c r="E132" s="10" t="s">
        <v>123</v>
      </c>
      <c r="F132" s="10" t="s">
        <v>124</v>
      </c>
      <c r="G132" s="10" t="s">
        <v>371</v>
      </c>
      <c r="H132" s="9" t="s">
        <v>59</v>
      </c>
      <c r="I132" s="10" t="s">
        <v>413</v>
      </c>
      <c r="J132" s="10" t="s">
        <v>126</v>
      </c>
      <c r="K132" s="12"/>
      <c r="L132" s="13"/>
      <c r="M132" s="14"/>
      <c r="N132" s="7"/>
    </row>
    <row r="133">
      <c r="A133" s="22">
        <f t="shared" si="1"/>
      </c>
      <c r="B133" s="9" t="s">
        <v>255</v>
      </c>
      <c r="C133" s="9" t="s">
        <v>269</v>
      </c>
      <c r="D133" s="10" t="s">
        <v>422</v>
      </c>
      <c r="E133" s="10" t="s">
        <v>239</v>
      </c>
      <c r="F133" s="10" t="s">
        <v>423</v>
      </c>
      <c r="G133" s="10" t="s">
        <v>28</v>
      </c>
      <c r="H133" s="9" t="s">
        <v>21</v>
      </c>
      <c r="I133" s="11" t="s">
        <v>95</v>
      </c>
      <c r="J133" s="10" t="s">
        <v>424</v>
      </c>
      <c r="K133" s="12"/>
      <c r="L133" s="13"/>
      <c r="M133" s="14"/>
      <c r="N133" s="7"/>
    </row>
    <row r="134">
      <c r="A134" s="22">
        <f t="shared" si="1"/>
      </c>
      <c r="B134" s="9" t="s">
        <v>255</v>
      </c>
      <c r="C134" s="9" t="s">
        <v>475</v>
      </c>
      <c r="D134" s="10" t="s">
        <v>476</v>
      </c>
      <c r="E134" s="10" t="s">
        <v>68</v>
      </c>
      <c r="F134" s="10" t="s">
        <v>477</v>
      </c>
      <c r="G134" s="10" t="s">
        <v>28</v>
      </c>
      <c r="H134" s="9" t="s">
        <v>59</v>
      </c>
      <c r="I134" s="10" t="s">
        <v>475</v>
      </c>
      <c r="J134" s="10" t="s">
        <v>395</v>
      </c>
      <c r="K134" s="12"/>
      <c r="L134" s="13"/>
      <c r="M134" s="14"/>
      <c r="N134" s="7"/>
    </row>
    <row r="135">
      <c r="A135" s="22">
        <f t="shared" si="1"/>
      </c>
      <c r="B135" s="9" t="s">
        <v>255</v>
      </c>
      <c r="C135" s="9" t="s">
        <v>478</v>
      </c>
      <c r="D135" s="10" t="s">
        <v>479</v>
      </c>
      <c r="E135" s="10" t="s">
        <v>361</v>
      </c>
      <c r="F135" s="10" t="s">
        <v>480</v>
      </c>
      <c r="G135" s="10" t="s">
        <v>481</v>
      </c>
      <c r="H135" s="9" t="s">
        <v>59</v>
      </c>
      <c r="I135" s="10" t="s">
        <v>482</v>
      </c>
      <c r="J135" s="10" t="s">
        <v>483</v>
      </c>
      <c r="K135" s="12"/>
      <c r="L135" s="13"/>
      <c r="M135" s="14"/>
      <c r="N135" s="7"/>
    </row>
    <row r="136">
      <c r="A136" s="26" t="s">
        <v>484</v>
      </c>
      <c r="B136" s="27"/>
      <c r="C136" s="27"/>
      <c r="D136" s="14"/>
      <c r="E136" s="14"/>
      <c r="F136" s="14"/>
      <c r="G136" s="14"/>
      <c r="H136" s="14"/>
      <c r="I136" s="14"/>
      <c r="J136" s="14"/>
      <c r="K136" s="12"/>
      <c r="L136" s="13"/>
      <c r="M136" s="14"/>
      <c r="N136" s="7"/>
    </row>
    <row r="137">
      <c r="A137" s="28" t="s">
        <v>1</v>
      </c>
      <c r="B137" s="31" t="s">
        <v>2</v>
      </c>
      <c r="C137" s="9" t="s">
        <v>3</v>
      </c>
      <c r="D137" s="9" t="s">
        <v>4</v>
      </c>
      <c r="E137" s="9" t="s">
        <v>5</v>
      </c>
      <c r="F137" s="9" t="s">
        <v>6</v>
      </c>
      <c r="G137" s="9" t="s">
        <v>7</v>
      </c>
      <c r="H137" s="31" t="s">
        <v>8</v>
      </c>
      <c r="I137" s="9" t="s">
        <v>9</v>
      </c>
      <c r="J137" s="9" t="s">
        <v>10</v>
      </c>
      <c r="K137" s="12"/>
      <c r="L137" s="13"/>
      <c r="M137" s="14"/>
      <c r="N137" s="7"/>
    </row>
    <row r="138">
      <c r="A138" s="22">
        <f t="shared" ref="A138:A169" si="2">ROW(A138)-6</f>
      </c>
      <c r="B138" s="9" t="s">
        <v>484</v>
      </c>
      <c r="C138" s="9" t="s">
        <v>485</v>
      </c>
      <c r="D138" s="10" t="s">
        <v>486</v>
      </c>
      <c r="E138" s="10" t="s">
        <v>18</v>
      </c>
      <c r="F138" s="10" t="s">
        <v>487</v>
      </c>
      <c r="G138" s="10" t="s">
        <v>488</v>
      </c>
      <c r="H138" s="9" t="s">
        <v>59</v>
      </c>
      <c r="I138" s="10" t="s">
        <v>485</v>
      </c>
      <c r="J138" s="10" t="s">
        <v>489</v>
      </c>
      <c r="K138" s="12"/>
      <c r="L138" s="13"/>
      <c r="M138" s="14"/>
      <c r="N138" s="7"/>
    </row>
    <row r="139">
      <c r="A139" s="22">
        <f t="shared" si="2"/>
      </c>
      <c r="B139" s="9" t="s">
        <v>484</v>
      </c>
      <c r="C139" s="9" t="s">
        <v>490</v>
      </c>
      <c r="D139" s="10" t="s">
        <v>491</v>
      </c>
      <c r="E139" s="10" t="s">
        <v>18</v>
      </c>
      <c r="F139" s="10" t="s">
        <v>492</v>
      </c>
      <c r="G139" s="10" t="s">
        <v>493</v>
      </c>
      <c r="H139" s="9" t="s">
        <v>59</v>
      </c>
      <c r="I139" s="10" t="s">
        <v>490</v>
      </c>
      <c r="J139" s="10" t="s">
        <v>29</v>
      </c>
      <c r="K139" s="12"/>
      <c r="L139" s="13"/>
      <c r="M139" s="14"/>
      <c r="N139" s="7"/>
    </row>
    <row r="140">
      <c r="A140" s="22">
        <f t="shared" si="2"/>
      </c>
      <c r="B140" s="9" t="s">
        <v>484</v>
      </c>
      <c r="C140" s="9" t="s">
        <v>494</v>
      </c>
      <c r="D140" s="10" t="s">
        <v>495</v>
      </c>
      <c r="E140" s="10" t="s">
        <v>139</v>
      </c>
      <c r="F140" s="10" t="s">
        <v>189</v>
      </c>
      <c r="G140" s="10" t="s">
        <v>496</v>
      </c>
      <c r="H140" s="9" t="s">
        <v>59</v>
      </c>
      <c r="I140" s="10" t="s">
        <v>494</v>
      </c>
      <c r="J140" s="10" t="s">
        <v>497</v>
      </c>
      <c r="K140" s="12"/>
      <c r="L140" s="13"/>
      <c r="M140" s="14"/>
      <c r="N140" s="7"/>
    </row>
    <row r="141">
      <c r="A141" s="15">
        <f t="shared" si="2"/>
      </c>
      <c r="B141" s="16" t="s">
        <v>484</v>
      </c>
      <c r="C141" s="16" t="s">
        <v>391</v>
      </c>
      <c r="D141" s="17" t="s">
        <v>392</v>
      </c>
      <c r="E141" s="17" t="s">
        <v>68</v>
      </c>
      <c r="F141" s="17" t="s">
        <v>90</v>
      </c>
      <c r="G141" s="17" t="s">
        <v>498</v>
      </c>
      <c r="H141" s="16" t="s">
        <v>59</v>
      </c>
      <c r="I141" s="17" t="s">
        <v>391</v>
      </c>
      <c r="J141" s="17" t="s">
        <v>40</v>
      </c>
      <c r="K141" s="18"/>
      <c r="L141" s="19"/>
      <c r="M141" s="20" t="s">
        <v>390</v>
      </c>
      <c r="N141" s="21"/>
      <c r="O141" s="21"/>
      <c r="P141" s="21"/>
      <c r="Q141" s="21"/>
      <c r="R141" s="21"/>
    </row>
    <row r="142">
      <c r="A142" s="15">
        <f t="shared" si="2"/>
      </c>
      <c r="B142" s="16" t="s">
        <v>484</v>
      </c>
      <c r="C142" s="16" t="s">
        <v>185</v>
      </c>
      <c r="D142" s="17" t="s">
        <v>499</v>
      </c>
      <c r="E142" s="17" t="s">
        <v>309</v>
      </c>
      <c r="F142" s="17" t="s">
        <v>500</v>
      </c>
      <c r="G142" s="17" t="s">
        <v>498</v>
      </c>
      <c r="H142" s="16" t="s">
        <v>59</v>
      </c>
      <c r="I142" s="17" t="s">
        <v>185</v>
      </c>
      <c r="J142" s="17" t="s">
        <v>501</v>
      </c>
      <c r="K142" s="18"/>
      <c r="L142" s="19"/>
      <c r="M142" s="20" t="s">
        <v>390</v>
      </c>
      <c r="N142" s="21"/>
      <c r="O142" s="21"/>
      <c r="P142" s="21"/>
      <c r="Q142" s="21"/>
      <c r="R142" s="21"/>
    </row>
    <row r="143">
      <c r="A143" s="15">
        <f t="shared" si="2"/>
      </c>
      <c r="B143" s="16" t="s">
        <v>484</v>
      </c>
      <c r="C143" s="16" t="s">
        <v>502</v>
      </c>
      <c r="D143" s="17" t="s">
        <v>503</v>
      </c>
      <c r="E143" s="17" t="s">
        <v>68</v>
      </c>
      <c r="F143" s="17" t="s">
        <v>398</v>
      </c>
      <c r="G143" s="17" t="s">
        <v>498</v>
      </c>
      <c r="H143" s="16" t="s">
        <v>59</v>
      </c>
      <c r="I143" s="17" t="s">
        <v>396</v>
      </c>
      <c r="J143" s="17" t="s">
        <v>504</v>
      </c>
      <c r="K143" s="18"/>
      <c r="L143" s="19"/>
      <c r="M143" s="20" t="s">
        <v>505</v>
      </c>
      <c r="N143" s="21"/>
      <c r="O143" s="21"/>
      <c r="P143" s="21"/>
      <c r="Q143" s="21"/>
      <c r="R143" s="21"/>
    </row>
    <row r="144">
      <c r="A144" s="15">
        <f t="shared" si="2"/>
      </c>
      <c r="B144" s="16" t="s">
        <v>484</v>
      </c>
      <c r="C144" s="16" t="s">
        <v>400</v>
      </c>
      <c r="D144" s="17" t="s">
        <v>506</v>
      </c>
      <c r="E144" s="17" t="s">
        <v>239</v>
      </c>
      <c r="F144" s="17" t="s">
        <v>507</v>
      </c>
      <c r="G144" s="17" t="s">
        <v>498</v>
      </c>
      <c r="H144" s="16" t="s">
        <v>21</v>
      </c>
      <c r="I144" s="30" t="s">
        <v>95</v>
      </c>
      <c r="J144" s="17" t="s">
        <v>508</v>
      </c>
      <c r="K144" s="18"/>
      <c r="L144" s="19"/>
      <c r="M144" s="20" t="s">
        <v>390</v>
      </c>
      <c r="N144" s="21"/>
      <c r="O144" s="21"/>
      <c r="P144" s="21"/>
      <c r="Q144" s="21"/>
      <c r="R144" s="21"/>
    </row>
    <row r="145">
      <c r="A145" s="15">
        <f t="shared" si="2"/>
      </c>
      <c r="B145" s="16" t="s">
        <v>484</v>
      </c>
      <c r="C145" s="16" t="s">
        <v>403</v>
      </c>
      <c r="D145" s="17" t="s">
        <v>509</v>
      </c>
      <c r="E145" s="17" t="s">
        <v>123</v>
      </c>
      <c r="F145" s="17" t="s">
        <v>124</v>
      </c>
      <c r="G145" s="16" t="s">
        <v>510</v>
      </c>
      <c r="H145" s="16" t="s">
        <v>59</v>
      </c>
      <c r="I145" s="17" t="s">
        <v>403</v>
      </c>
      <c r="J145" s="17" t="s">
        <v>126</v>
      </c>
      <c r="K145" s="18"/>
      <c r="L145" s="19"/>
      <c r="M145" s="20" t="s">
        <v>390</v>
      </c>
      <c r="N145" s="21"/>
      <c r="O145" s="21"/>
      <c r="P145" s="21"/>
      <c r="Q145" s="21"/>
      <c r="R145" s="21"/>
    </row>
    <row r="146">
      <c r="A146" s="22">
        <f t="shared" si="2"/>
      </c>
      <c r="B146" s="9" t="s">
        <v>484</v>
      </c>
      <c r="C146" s="9" t="s">
        <v>511</v>
      </c>
      <c r="D146" s="10" t="s">
        <v>512</v>
      </c>
      <c r="E146" s="10" t="s">
        <v>123</v>
      </c>
      <c r="F146" s="10"/>
      <c r="G146" s="10" t="s">
        <v>513</v>
      </c>
      <c r="H146" s="9" t="s">
        <v>59</v>
      </c>
      <c r="I146" s="10" t="s">
        <v>514</v>
      </c>
      <c r="J146" s="10" t="s">
        <v>515</v>
      </c>
      <c r="K146" s="12"/>
      <c r="L146" s="13"/>
      <c r="M146" s="32" t="s">
        <v>516</v>
      </c>
      <c r="N146" s="7"/>
    </row>
    <row r="147">
      <c r="A147" s="22">
        <f t="shared" si="2"/>
      </c>
      <c r="B147" s="9" t="s">
        <v>484</v>
      </c>
      <c r="C147" s="9" t="s">
        <v>517</v>
      </c>
      <c r="D147" s="10" t="s">
        <v>518</v>
      </c>
      <c r="E147" s="10" t="s">
        <v>139</v>
      </c>
      <c r="F147" s="10" t="s">
        <v>189</v>
      </c>
      <c r="G147" s="10" t="s">
        <v>513</v>
      </c>
      <c r="H147" s="9" t="s">
        <v>59</v>
      </c>
      <c r="I147" s="10" t="s">
        <v>519</v>
      </c>
      <c r="J147" s="10" t="s">
        <v>497</v>
      </c>
      <c r="K147" s="12"/>
      <c r="L147" s="13"/>
      <c r="M147" s="14"/>
      <c r="N147" s="7"/>
    </row>
    <row r="148">
      <c r="A148" s="22">
        <f t="shared" si="2"/>
      </c>
      <c r="B148" s="9" t="s">
        <v>484</v>
      </c>
      <c r="C148" s="9" t="s">
        <v>520</v>
      </c>
      <c r="D148" s="10" t="s">
        <v>521</v>
      </c>
      <c r="E148" s="10" t="s">
        <v>239</v>
      </c>
      <c r="F148" s="10" t="s">
        <v>522</v>
      </c>
      <c r="G148" s="9" t="s">
        <v>510</v>
      </c>
      <c r="H148" s="9" t="s">
        <v>21</v>
      </c>
      <c r="I148" s="11" t="s">
        <v>95</v>
      </c>
      <c r="J148" s="10" t="s">
        <v>523</v>
      </c>
      <c r="K148" s="12"/>
      <c r="L148" s="13"/>
      <c r="M148" s="14"/>
      <c r="N148" s="7"/>
    </row>
    <row r="149">
      <c r="A149" s="22">
        <f t="shared" si="2"/>
      </c>
      <c r="B149" s="9" t="s">
        <v>484</v>
      </c>
      <c r="C149" s="9" t="s">
        <v>524</v>
      </c>
      <c r="D149" s="10" t="s">
        <v>525</v>
      </c>
      <c r="E149" s="10" t="s">
        <v>239</v>
      </c>
      <c r="F149" s="10" t="s">
        <v>526</v>
      </c>
      <c r="G149" s="9" t="s">
        <v>510</v>
      </c>
      <c r="H149" s="9" t="s">
        <v>21</v>
      </c>
      <c r="I149" s="11" t="s">
        <v>95</v>
      </c>
      <c r="J149" s="10" t="s">
        <v>527</v>
      </c>
      <c r="K149" s="12"/>
      <c r="L149" s="13"/>
      <c r="M149" s="14"/>
      <c r="N149" s="7"/>
    </row>
    <row r="150">
      <c r="A150" s="22">
        <f t="shared" si="2"/>
      </c>
      <c r="B150" s="27" t="s">
        <v>484</v>
      </c>
      <c r="C150" s="27" t="s">
        <v>528</v>
      </c>
      <c r="D150" s="14" t="s">
        <v>529</v>
      </c>
      <c r="E150" s="14" t="s">
        <v>347</v>
      </c>
      <c r="F150" s="14" t="s">
        <v>348</v>
      </c>
      <c r="G150" s="14" t="s">
        <v>28</v>
      </c>
      <c r="H150" s="14" t="s">
        <v>59</v>
      </c>
      <c r="I150" s="14" t="s">
        <v>528</v>
      </c>
      <c r="J150" s="14" t="s">
        <v>349</v>
      </c>
      <c r="K150" s="12"/>
      <c r="L150" s="13"/>
      <c r="M150" s="14"/>
      <c r="N150" s="7"/>
    </row>
    <row r="151">
      <c r="A151" s="33">
        <f t="shared" si="2"/>
      </c>
      <c r="B151" s="34" t="s">
        <v>484</v>
      </c>
      <c r="C151" s="34" t="s">
        <v>530</v>
      </c>
      <c r="D151" s="35" t="s">
        <v>531</v>
      </c>
      <c r="E151" s="35" t="s">
        <v>18</v>
      </c>
      <c r="F151" s="35" t="s">
        <v>532</v>
      </c>
      <c r="G151" s="35" t="s">
        <v>533</v>
      </c>
      <c r="H151" s="35" t="s">
        <v>59</v>
      </c>
      <c r="I151" s="35" t="s">
        <v>530</v>
      </c>
      <c r="J151" s="35" t="s">
        <v>286</v>
      </c>
      <c r="K151" s="36"/>
      <c r="L151" s="37"/>
      <c r="M151" s="35"/>
      <c r="N151" s="38"/>
      <c r="O151" s="38"/>
      <c r="P151" s="38"/>
      <c r="Q151" s="38"/>
      <c r="R151" s="38"/>
    </row>
    <row r="152">
      <c r="A152" s="33">
        <f t="shared" si="2"/>
      </c>
      <c r="B152" s="34" t="s">
        <v>484</v>
      </c>
      <c r="C152" s="34" t="s">
        <v>534</v>
      </c>
      <c r="D152" s="35" t="s">
        <v>535</v>
      </c>
      <c r="E152" s="35" t="s">
        <v>18</v>
      </c>
      <c r="F152" s="35" t="s">
        <v>532</v>
      </c>
      <c r="G152" s="35" t="s">
        <v>536</v>
      </c>
      <c r="H152" s="35" t="s">
        <v>537</v>
      </c>
      <c r="I152" s="35" t="s">
        <v>534</v>
      </c>
      <c r="J152" s="35" t="s">
        <v>286</v>
      </c>
      <c r="K152" s="36"/>
      <c r="L152" s="37"/>
      <c r="M152" s="35"/>
      <c r="N152" s="38"/>
      <c r="O152" s="38"/>
      <c r="P152" s="38"/>
      <c r="Q152" s="38"/>
      <c r="R152" s="38"/>
    </row>
    <row r="153">
      <c r="A153" s="15">
        <f t="shared" si="2"/>
      </c>
      <c r="B153" s="39" t="s">
        <v>484</v>
      </c>
      <c r="C153" s="39" t="s">
        <v>538</v>
      </c>
      <c r="D153" s="20" t="s">
        <v>539</v>
      </c>
      <c r="E153" s="20" t="s">
        <v>347</v>
      </c>
      <c r="F153" s="20" t="s">
        <v>540</v>
      </c>
      <c r="G153" s="20" t="s">
        <v>28</v>
      </c>
      <c r="H153" s="20" t="s">
        <v>59</v>
      </c>
      <c r="I153" s="20" t="s">
        <v>538</v>
      </c>
      <c r="J153" s="20" t="s">
        <v>541</v>
      </c>
      <c r="K153" s="18"/>
      <c r="L153" s="19"/>
      <c r="M153" s="20" t="s">
        <v>542</v>
      </c>
      <c r="N153" s="21"/>
      <c r="O153" s="21"/>
      <c r="P153" s="21"/>
      <c r="Q153" s="21"/>
      <c r="R153" s="21"/>
    </row>
    <row r="154">
      <c r="A154" s="22">
        <f t="shared" si="2"/>
      </c>
      <c r="B154" s="27" t="s">
        <v>484</v>
      </c>
      <c r="C154" s="27" t="s">
        <v>543</v>
      </c>
      <c r="D154" s="14" t="s">
        <v>544</v>
      </c>
      <c r="E154" s="14" t="s">
        <v>18</v>
      </c>
      <c r="F154" s="14" t="s">
        <v>545</v>
      </c>
      <c r="G154" s="14" t="s">
        <v>28</v>
      </c>
      <c r="H154" s="14" t="s">
        <v>59</v>
      </c>
      <c r="I154" s="14" t="s">
        <v>543</v>
      </c>
      <c r="J154" s="14" t="s">
        <v>286</v>
      </c>
      <c r="K154" s="12"/>
      <c r="L154" s="13"/>
      <c r="M154" s="14" t="s">
        <v>546</v>
      </c>
      <c r="N154" s="7"/>
    </row>
    <row r="155">
      <c r="A155" s="22">
        <f t="shared" si="2"/>
      </c>
      <c r="B155" s="27" t="s">
        <v>484</v>
      </c>
      <c r="C155" s="27" t="s">
        <v>547</v>
      </c>
      <c r="D155" s="14" t="s">
        <v>548</v>
      </c>
      <c r="E155" s="14" t="s">
        <v>18</v>
      </c>
      <c r="F155" s="14" t="s">
        <v>33</v>
      </c>
      <c r="G155" s="14" t="s">
        <v>28</v>
      </c>
      <c r="H155" s="14" t="s">
        <v>59</v>
      </c>
      <c r="I155" s="14" t="s">
        <v>547</v>
      </c>
      <c r="J155" s="14" t="s">
        <v>286</v>
      </c>
      <c r="K155" s="12"/>
      <c r="L155" s="13"/>
      <c r="M155" s="14" t="s">
        <v>546</v>
      </c>
      <c r="N155" s="7"/>
    </row>
    <row r="156">
      <c r="A156" s="22">
        <f t="shared" si="2"/>
      </c>
      <c r="B156" s="27" t="s">
        <v>484</v>
      </c>
      <c r="C156" s="27" t="s">
        <v>549</v>
      </c>
      <c r="D156" s="14" t="s">
        <v>550</v>
      </c>
      <c r="E156" s="14" t="s">
        <v>18</v>
      </c>
      <c r="F156" s="14" t="s">
        <v>33</v>
      </c>
      <c r="G156" s="14" t="s">
        <v>551</v>
      </c>
      <c r="H156" s="14" t="s">
        <v>59</v>
      </c>
      <c r="I156" s="14" t="s">
        <v>549</v>
      </c>
      <c r="J156" s="14" t="s">
        <v>286</v>
      </c>
      <c r="K156" s="12"/>
      <c r="L156" s="13"/>
      <c r="M156" s="14"/>
      <c r="N156" s="7"/>
    </row>
    <row r="157">
      <c r="A157" s="22">
        <f t="shared" si="2"/>
      </c>
      <c r="B157" s="27" t="s">
        <v>484</v>
      </c>
      <c r="C157" s="27" t="s">
        <v>552</v>
      </c>
      <c r="D157" s="14" t="s">
        <v>553</v>
      </c>
      <c r="E157" s="14" t="s">
        <v>347</v>
      </c>
      <c r="F157" s="14" t="s">
        <v>348</v>
      </c>
      <c r="G157" s="14" t="s">
        <v>28</v>
      </c>
      <c r="H157" s="14" t="s">
        <v>59</v>
      </c>
      <c r="I157" s="14" t="s">
        <v>552</v>
      </c>
      <c r="J157" s="14" t="s">
        <v>349</v>
      </c>
      <c r="K157" s="12"/>
      <c r="L157" s="13"/>
      <c r="M157" s="14"/>
      <c r="N157" s="7"/>
    </row>
    <row r="158">
      <c r="A158" s="15">
        <f t="shared" si="2"/>
      </c>
      <c r="B158" s="39" t="s">
        <v>484</v>
      </c>
      <c r="C158" s="39" t="s">
        <v>41</v>
      </c>
      <c r="D158" s="20" t="s">
        <v>554</v>
      </c>
      <c r="E158" s="20" t="s">
        <v>68</v>
      </c>
      <c r="F158" s="20" t="s">
        <v>393</v>
      </c>
      <c r="G158" s="20" t="s">
        <v>28</v>
      </c>
      <c r="H158" s="20" t="s">
        <v>59</v>
      </c>
      <c r="I158" s="20" t="s">
        <v>41</v>
      </c>
      <c r="J158" s="20" t="s">
        <v>395</v>
      </c>
      <c r="K158" s="18"/>
      <c r="L158" s="19"/>
      <c r="M158" s="20" t="s">
        <v>30</v>
      </c>
      <c r="N158" s="21"/>
      <c r="O158" s="21"/>
      <c r="P158" s="21"/>
      <c r="Q158" s="21"/>
      <c r="R158" s="21"/>
    </row>
    <row r="159">
      <c r="A159" s="15">
        <f t="shared" si="2"/>
      </c>
      <c r="B159" s="39" t="s">
        <v>484</v>
      </c>
      <c r="C159" s="39" t="s">
        <v>555</v>
      </c>
      <c r="D159" s="20" t="s">
        <v>556</v>
      </c>
      <c r="E159" s="20" t="s">
        <v>63</v>
      </c>
      <c r="F159" s="20" t="s">
        <v>557</v>
      </c>
      <c r="G159" s="20" t="s">
        <v>558</v>
      </c>
      <c r="H159" s="20" t="s">
        <v>59</v>
      </c>
      <c r="I159" s="20" t="s">
        <v>555</v>
      </c>
      <c r="J159" s="20" t="s">
        <v>559</v>
      </c>
      <c r="K159" s="18"/>
      <c r="L159" s="19"/>
      <c r="M159" s="20" t="s">
        <v>560</v>
      </c>
      <c r="N159" s="21"/>
      <c r="O159" s="21"/>
      <c r="P159" s="21"/>
      <c r="Q159" s="21"/>
      <c r="R159" s="21"/>
    </row>
    <row r="160">
      <c r="A160" s="15">
        <f t="shared" si="2"/>
      </c>
      <c r="B160" s="39" t="s">
        <v>484</v>
      </c>
      <c r="C160" s="39" t="s">
        <v>561</v>
      </c>
      <c r="D160" s="20" t="s">
        <v>562</v>
      </c>
      <c r="E160" s="20" t="s">
        <v>63</v>
      </c>
      <c r="F160" s="20" t="s">
        <v>557</v>
      </c>
      <c r="G160" s="20" t="s">
        <v>558</v>
      </c>
      <c r="H160" s="20" t="s">
        <v>59</v>
      </c>
      <c r="I160" s="20" t="s">
        <v>561</v>
      </c>
      <c r="J160" s="20" t="s">
        <v>559</v>
      </c>
      <c r="K160" s="18"/>
      <c r="L160" s="19"/>
      <c r="M160" s="20" t="s">
        <v>560</v>
      </c>
      <c r="N160" s="21"/>
      <c r="O160" s="21"/>
      <c r="P160" s="21"/>
      <c r="Q160" s="21"/>
      <c r="R160" s="21"/>
    </row>
    <row r="161">
      <c r="A161" s="22">
        <f t="shared" si="2"/>
      </c>
      <c r="B161" s="27" t="s">
        <v>484</v>
      </c>
      <c r="C161" s="27" t="s">
        <v>563</v>
      </c>
      <c r="D161" s="14" t="s">
        <v>564</v>
      </c>
      <c r="E161" s="14" t="s">
        <v>18</v>
      </c>
      <c r="F161" s="14" t="s">
        <v>565</v>
      </c>
      <c r="G161" s="14" t="s">
        <v>28</v>
      </c>
      <c r="H161" s="14" t="s">
        <v>59</v>
      </c>
      <c r="I161" s="14" t="s">
        <v>563</v>
      </c>
      <c r="J161" s="14" t="s">
        <v>286</v>
      </c>
      <c r="K161" s="12"/>
      <c r="L161" s="13"/>
      <c r="M161" s="14"/>
      <c r="N161" s="7"/>
    </row>
    <row r="162">
      <c r="A162" s="22">
        <f t="shared" si="2"/>
      </c>
      <c r="B162" s="27" t="s">
        <v>484</v>
      </c>
      <c r="C162" s="27" t="s">
        <v>566</v>
      </c>
      <c r="D162" s="14" t="s">
        <v>567</v>
      </c>
      <c r="E162" s="14" t="s">
        <v>68</v>
      </c>
      <c r="F162" s="14" t="s">
        <v>393</v>
      </c>
      <c r="G162" s="14" t="s">
        <v>28</v>
      </c>
      <c r="H162" s="14" t="s">
        <v>59</v>
      </c>
      <c r="I162" s="14" t="s">
        <v>566</v>
      </c>
      <c r="J162" s="14" t="s">
        <v>395</v>
      </c>
      <c r="K162" s="12"/>
      <c r="L162" s="13"/>
      <c r="M162" s="14"/>
      <c r="N162" s="7"/>
    </row>
    <row r="163">
      <c r="A163" s="22">
        <f t="shared" si="2"/>
      </c>
      <c r="B163" s="27" t="s">
        <v>484</v>
      </c>
      <c r="C163" s="27" t="s">
        <v>568</v>
      </c>
      <c r="D163" s="14" t="s">
        <v>569</v>
      </c>
      <c r="E163" s="14" t="s">
        <v>68</v>
      </c>
      <c r="F163" s="14" t="s">
        <v>393</v>
      </c>
      <c r="G163" s="14" t="s">
        <v>28</v>
      </c>
      <c r="H163" s="14" t="s">
        <v>59</v>
      </c>
      <c r="I163" s="14" t="s">
        <v>568</v>
      </c>
      <c r="J163" s="14" t="s">
        <v>395</v>
      </c>
      <c r="K163" s="12"/>
      <c r="L163" s="13"/>
      <c r="M163" s="14"/>
      <c r="N163" s="7"/>
    </row>
    <row r="164">
      <c r="A164" s="15">
        <f t="shared" si="2"/>
      </c>
      <c r="B164" s="39" t="s">
        <v>484</v>
      </c>
      <c r="C164" s="39" t="s">
        <v>511</v>
      </c>
      <c r="D164" s="20" t="s">
        <v>570</v>
      </c>
      <c r="E164" s="20" t="s">
        <v>18</v>
      </c>
      <c r="F164" s="20" t="s">
        <v>571</v>
      </c>
      <c r="G164" s="20" t="s">
        <v>28</v>
      </c>
      <c r="H164" s="20" t="s">
        <v>59</v>
      </c>
      <c r="I164" s="20" t="s">
        <v>511</v>
      </c>
      <c r="J164" s="20" t="s">
        <v>286</v>
      </c>
      <c r="K164" s="18"/>
      <c r="L164" s="19"/>
      <c r="M164" s="20" t="s">
        <v>390</v>
      </c>
      <c r="N164" s="21"/>
      <c r="O164" s="21"/>
      <c r="P164" s="21"/>
      <c r="Q164" s="21"/>
      <c r="R164" s="21"/>
    </row>
    <row r="165">
      <c r="A165" s="15">
        <f t="shared" si="2"/>
      </c>
      <c r="B165" s="39" t="s">
        <v>484</v>
      </c>
      <c r="C165" s="39" t="s">
        <v>517</v>
      </c>
      <c r="D165" s="20" t="s">
        <v>572</v>
      </c>
      <c r="E165" s="20" t="s">
        <v>139</v>
      </c>
      <c r="F165" s="20" t="s">
        <v>375</v>
      </c>
      <c r="G165" s="20" t="s">
        <v>28</v>
      </c>
      <c r="H165" s="20" t="s">
        <v>59</v>
      </c>
      <c r="I165" s="20" t="s">
        <v>573</v>
      </c>
      <c r="J165" s="20" t="s">
        <v>376</v>
      </c>
      <c r="K165" s="18"/>
      <c r="L165" s="19"/>
      <c r="M165" s="20" t="s">
        <v>390</v>
      </c>
      <c r="N165" s="21"/>
      <c r="O165" s="21"/>
      <c r="P165" s="21"/>
      <c r="Q165" s="21"/>
      <c r="R165" s="21"/>
    </row>
    <row r="166">
      <c r="A166" s="22">
        <f t="shared" si="2"/>
      </c>
      <c r="B166" s="27" t="s">
        <v>484</v>
      </c>
      <c r="C166" s="27" t="s">
        <v>574</v>
      </c>
      <c r="D166" s="14" t="s">
        <v>575</v>
      </c>
      <c r="E166" s="14" t="s">
        <v>139</v>
      </c>
      <c r="F166" s="14" t="s">
        <v>375</v>
      </c>
      <c r="G166" s="14" t="s">
        <v>28</v>
      </c>
      <c r="H166" s="14" t="s">
        <v>59</v>
      </c>
      <c r="I166" s="14" t="s">
        <v>574</v>
      </c>
      <c r="J166" s="14" t="s">
        <v>376</v>
      </c>
      <c r="K166" s="12"/>
      <c r="L166" s="13"/>
      <c r="M166" s="14"/>
      <c r="N166" s="7"/>
    </row>
    <row r="167">
      <c r="A167" s="22">
        <f t="shared" si="2"/>
      </c>
      <c r="B167" s="27" t="s">
        <v>484</v>
      </c>
      <c r="C167" s="27" t="s">
        <v>576</v>
      </c>
      <c r="D167" s="14" t="s">
        <v>577</v>
      </c>
      <c r="E167" s="14" t="s">
        <v>578</v>
      </c>
      <c r="F167" s="14" t="s">
        <v>579</v>
      </c>
      <c r="G167" s="14" t="s">
        <v>28</v>
      </c>
      <c r="H167" s="14" t="s">
        <v>59</v>
      </c>
      <c r="I167" s="14" t="s">
        <v>576</v>
      </c>
      <c r="J167" s="14" t="s">
        <v>580</v>
      </c>
      <c r="K167" s="12"/>
      <c r="L167" s="13"/>
      <c r="M167" s="14"/>
      <c r="N167" s="7"/>
    </row>
    <row r="168">
      <c r="A168" s="22">
        <f t="shared" si="2"/>
      </c>
      <c r="B168" s="27" t="s">
        <v>484</v>
      </c>
      <c r="C168" s="27" t="s">
        <v>581</v>
      </c>
      <c r="D168" s="14" t="s">
        <v>582</v>
      </c>
      <c r="E168" s="14" t="s">
        <v>18</v>
      </c>
      <c r="F168" s="14" t="s">
        <v>33</v>
      </c>
      <c r="G168" s="14" t="s">
        <v>28</v>
      </c>
      <c r="H168" s="14" t="s">
        <v>59</v>
      </c>
      <c r="I168" s="14" t="s">
        <v>581</v>
      </c>
      <c r="J168" s="14" t="s">
        <v>286</v>
      </c>
      <c r="K168" s="12"/>
      <c r="L168" s="13"/>
      <c r="M168" s="14"/>
      <c r="N168" s="7"/>
    </row>
    <row r="169">
      <c r="A169" s="22">
        <f t="shared" si="2"/>
      </c>
      <c r="B169" s="27" t="s">
        <v>484</v>
      </c>
      <c r="C169" s="27" t="s">
        <v>583</v>
      </c>
      <c r="D169" s="14" t="s">
        <v>584</v>
      </c>
      <c r="E169" s="14" t="s">
        <v>123</v>
      </c>
      <c r="F169" s="14" t="s">
        <v>124</v>
      </c>
      <c r="G169" s="14" t="s">
        <v>585</v>
      </c>
      <c r="H169" s="14" t="s">
        <v>59</v>
      </c>
      <c r="I169" s="14" t="s">
        <v>583</v>
      </c>
      <c r="J169" s="14" t="s">
        <v>586</v>
      </c>
      <c r="K169" s="12"/>
      <c r="L169" s="13"/>
      <c r="M169" s="14"/>
      <c r="N169" s="7"/>
    </row>
    <row r="170">
      <c r="A170" s="40"/>
      <c r="B170" s="41"/>
      <c r="C170" s="41"/>
      <c r="D170" s="7"/>
      <c r="E170" s="7"/>
      <c r="F170" s="7"/>
      <c r="G170" s="7"/>
      <c r="H170" s="7"/>
      <c r="I170" s="7"/>
      <c r="J170" s="7"/>
      <c r="K170" s="40"/>
      <c r="L170" s="40"/>
      <c r="M170" s="7"/>
    </row>
    <row r="171">
      <c r="A171" s="42"/>
      <c r="B171" s="41"/>
      <c r="C171" s="41"/>
      <c r="K171" s="40"/>
      <c r="L171" s="40"/>
    </row>
    <row r="172">
      <c r="A172" s="42"/>
      <c r="B172" s="41"/>
      <c r="C172" s="41"/>
      <c r="K172" s="40"/>
      <c r="L172" s="40"/>
    </row>
    <row r="173">
      <c r="A173" s="42"/>
      <c r="B173" s="41"/>
      <c r="C173" s="41"/>
      <c r="K173" s="40"/>
      <c r="L173" s="40"/>
    </row>
    <row r="174">
      <c r="A174" s="42"/>
      <c r="B174" s="41"/>
      <c r="C174" s="41"/>
      <c r="K174" s="40"/>
      <c r="L174" s="40"/>
    </row>
    <row r="175">
      <c r="A175" s="42"/>
      <c r="B175" s="41"/>
      <c r="C175" s="41"/>
      <c r="K175" s="40"/>
      <c r="L175" s="40"/>
    </row>
    <row r="176">
      <c r="A176" s="42"/>
      <c r="B176" s="41"/>
      <c r="C176" s="41"/>
      <c r="K176" s="40"/>
      <c r="L176" s="40"/>
    </row>
    <row r="177">
      <c r="A177" s="42"/>
      <c r="B177" s="41"/>
      <c r="C177" s="41"/>
      <c r="K177" s="40"/>
      <c r="L177" s="40"/>
    </row>
    <row r="178">
      <c r="A178" s="42"/>
      <c r="B178" s="41"/>
      <c r="C178" s="41"/>
      <c r="K178" s="40"/>
      <c r="L178" s="40"/>
    </row>
    <row r="179">
      <c r="A179" s="42"/>
      <c r="B179" s="41"/>
      <c r="C179" s="41"/>
      <c r="K179" s="40"/>
      <c r="L179" s="40"/>
    </row>
    <row r="180">
      <c r="A180" s="42"/>
      <c r="B180" s="41"/>
      <c r="C180" s="41"/>
      <c r="K180" s="40"/>
      <c r="L180" s="40"/>
    </row>
    <row r="181">
      <c r="A181" s="42"/>
      <c r="B181" s="41"/>
      <c r="C181" s="41"/>
      <c r="K181" s="40"/>
      <c r="L181" s="40"/>
    </row>
    <row r="182">
      <c r="A182" s="42"/>
      <c r="B182" s="41"/>
      <c r="C182" s="41"/>
      <c r="K182" s="40"/>
      <c r="L182" s="40"/>
    </row>
    <row r="183">
      <c r="A183" s="42"/>
      <c r="B183" s="41"/>
      <c r="C183" s="41"/>
      <c r="K183" s="40"/>
      <c r="L183" s="40"/>
    </row>
    <row r="184">
      <c r="A184" s="42"/>
      <c r="B184" s="41"/>
      <c r="C184" s="41"/>
      <c r="K184" s="40"/>
      <c r="L184" s="40"/>
    </row>
    <row r="185">
      <c r="A185" s="42"/>
      <c r="B185" s="41"/>
      <c r="C185" s="41"/>
      <c r="K185" s="40"/>
      <c r="L185" s="40"/>
    </row>
    <row r="186">
      <c r="A186" s="42"/>
      <c r="B186" s="41"/>
      <c r="C186" s="41"/>
      <c r="K186" s="40"/>
      <c r="L186" s="40"/>
    </row>
    <row r="187">
      <c r="A187" s="42"/>
      <c r="B187" s="41"/>
      <c r="C187" s="41"/>
      <c r="K187" s="40"/>
      <c r="L187" s="40"/>
    </row>
    <row r="188">
      <c r="A188" s="42"/>
      <c r="B188" s="41"/>
      <c r="C188" s="41"/>
      <c r="K188" s="40"/>
      <c r="L188" s="40"/>
    </row>
    <row r="189">
      <c r="A189" s="42"/>
      <c r="B189" s="41"/>
      <c r="C189" s="41"/>
      <c r="K189" s="40"/>
      <c r="L189" s="40"/>
    </row>
    <row r="190">
      <c r="A190" s="42"/>
      <c r="B190" s="41"/>
      <c r="C190" s="41"/>
      <c r="K190" s="40"/>
      <c r="L190" s="40"/>
    </row>
    <row r="191">
      <c r="A191" s="42"/>
      <c r="B191" s="41"/>
      <c r="C191" s="41"/>
      <c r="K191" s="40"/>
      <c r="L191" s="40"/>
    </row>
    <row r="192">
      <c r="A192" s="42"/>
      <c r="B192" s="41"/>
      <c r="C192" s="41"/>
      <c r="K192" s="40"/>
      <c r="L192" s="40"/>
    </row>
    <row r="193">
      <c r="A193" s="42"/>
      <c r="B193" s="41"/>
      <c r="C193" s="41"/>
      <c r="K193" s="40"/>
      <c r="L193" s="40"/>
    </row>
    <row r="194">
      <c r="A194" s="42"/>
      <c r="B194" s="41"/>
      <c r="C194" s="41"/>
      <c r="K194" s="40"/>
      <c r="L194" s="40"/>
    </row>
    <row r="195">
      <c r="A195" s="42"/>
      <c r="B195" s="41"/>
      <c r="C195" s="41"/>
      <c r="K195" s="40"/>
      <c r="L195" s="40"/>
    </row>
    <row r="196">
      <c r="A196" s="42"/>
      <c r="B196" s="41"/>
      <c r="C196" s="41"/>
      <c r="K196" s="40"/>
      <c r="L196" s="40"/>
    </row>
    <row r="197">
      <c r="A197" s="42"/>
      <c r="B197" s="41"/>
      <c r="C197" s="41"/>
      <c r="K197" s="40"/>
      <c r="L197" s="40"/>
    </row>
    <row r="198">
      <c r="A198" s="42"/>
      <c r="B198" s="41"/>
      <c r="C198" s="41"/>
      <c r="K198" s="40"/>
      <c r="L198" s="40"/>
    </row>
    <row r="199">
      <c r="A199" s="42"/>
      <c r="B199" s="41"/>
      <c r="C199" s="41"/>
      <c r="K199" s="40"/>
      <c r="L199" s="40"/>
    </row>
    <row r="200">
      <c r="A200" s="42"/>
      <c r="B200" s="41"/>
      <c r="C200" s="41"/>
      <c r="K200" s="40"/>
      <c r="L200" s="40"/>
    </row>
  </sheetData>
  <autoFilter ref="A1:R200"/>
  <dataValidations count="3">
    <dataValidation allowBlank="true" errorStyle="stop" showErrorMessage="true" sqref="B2:B200" type="list">
      <formula1>"全阶段,谋划,在谈,签约,落地"</formula1>
    </dataValidation>
    <dataValidation allowBlank="true" errorStyle="stop" showErrorMessage="true" sqref="H2:H200 K2:K200" type="list">
      <formula1>"是,否"</formula1>
    </dataValidation>
    <dataValidation allowBlank="true" errorStyle="stop" showErrorMessage="true" sqref="L2:L200" type="list">
      <formula1>"是,否,待定"</formula1>
    </dataValidation>
  </dataValidation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1" defaultRowHeight="16"/>
  <cols>
    <col collapsed="false" customWidth="true" hidden="false" max="7" min="7" style="0" width="11"/>
    <col collapsed="false" customWidth="true" hidden="false" max="11" min="11" style="0" width="11"/>
    <col collapsed="false" customWidth="true" hidden="false" max="15" min="15" style="0" width="11"/>
    <col collapsed="false" customWidth="true" hidden="false" max="19" min="19" style="0" width="11"/>
    <col collapsed="false" customWidth="true" hidden="false" max="3" min="3" style="0" width="71"/>
    <col collapsed="false" customWidth="true" hidden="false" max="6" min="6" style="0" width="11"/>
    <col collapsed="false" customWidth="true" hidden="false" max="10" min="10" style="0" width="11"/>
    <col collapsed="false" customWidth="true" hidden="false" max="14" min="14" style="0" width="11"/>
    <col collapsed="false" customWidth="true" hidden="false" max="18" min="18" style="0" width="11"/>
    <col collapsed="false" customWidth="true" hidden="false" max="2" min="2" style="0" width="14"/>
    <col collapsed="false" customWidth="true" hidden="false" max="5" min="5" style="0" width="11"/>
    <col collapsed="false" customWidth="true" hidden="false" max="9" min="9" style="0" width="11"/>
    <col collapsed="false" customWidth="true" hidden="false" max="13" min="13" style="0" width="11"/>
    <col collapsed="false" customWidth="true" hidden="false" max="17" min="17" style="0" width="11"/>
    <col collapsed="false" customWidth="true" hidden="false" max="1" min="1" style="0" width="19"/>
    <col collapsed="false" customWidth="true" hidden="false" max="8" min="8" style="0" width="11"/>
    <col collapsed="false" customWidth="true" hidden="false" max="12" min="12" style="0" width="11"/>
    <col collapsed="false" customWidth="true" hidden="false" max="16" min="16" style="0" width="11"/>
    <col collapsed="false" customWidth="true" hidden="false" max="20" min="20" style="0" width="11"/>
    <col collapsed="false" customWidth="true" hidden="false" max="4" min="4" style="0" width="11"/>
  </cols>
  <sheetData>
    <row customHeight="true" hidden="true" ht="16" r="1">
      <c r="A1" s="43" t="s">
        <v>587</v>
      </c>
      <c r="B1" s="43"/>
      <c r="C1" s="43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</row>
    <row customHeight="true" hidden="true" ht="16" r="2">
      <c r="A2" s="45" t="s">
        <v>588</v>
      </c>
      <c r="B2" s="45" t="s">
        <v>589</v>
      </c>
      <c r="C2" s="45" t="s">
        <v>590</v>
      </c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</row>
    <row customHeight="true" hidden="true" ht="16" r="3">
      <c r="A3" s="46" t="s">
        <v>591</v>
      </c>
      <c r="B3" s="46" t="s">
        <v>592</v>
      </c>
      <c r="C3" s="46" t="s">
        <v>593</v>
      </c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</row>
    <row customHeight="true" hidden="true" ht="16" r="4">
      <c r="A4" s="46" t="s">
        <v>594</v>
      </c>
      <c r="B4" s="46" t="s">
        <v>592</v>
      </c>
      <c r="C4" s="46" t="s">
        <v>595</v>
      </c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</row>
    <row customHeight="true" hidden="true" ht="16" r="5">
      <c r="A5" s="46" t="s">
        <v>596</v>
      </c>
      <c r="B5" s="46" t="s">
        <v>592</v>
      </c>
      <c r="C5" s="46" t="s">
        <v>597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</row>
    <row customHeight="true" hidden="true" ht="16" r="6">
      <c r="A6" s="46" t="s">
        <v>598</v>
      </c>
      <c r="B6" s="46"/>
      <c r="C6" s="46" t="s">
        <v>599</v>
      </c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</row>
    <row customHeight="true" hidden="true" ht="16" r="7">
      <c r="A7" s="46" t="s">
        <v>600</v>
      </c>
      <c r="B7" s="46" t="s">
        <v>592</v>
      </c>
      <c r="C7" s="46" t="s">
        <v>601</v>
      </c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</row>
    <row customHeight="true" hidden="true" ht="16" r="8">
      <c r="A8" s="46" t="s">
        <v>602</v>
      </c>
      <c r="B8" s="46" t="s">
        <v>592</v>
      </c>
      <c r="C8" s="46" t="s">
        <v>603</v>
      </c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</row>
    <row customHeight="true" hidden="true" ht="16" r="9">
      <c r="A9" s="46" t="s">
        <v>604</v>
      </c>
      <c r="B9" s="46" t="s">
        <v>592</v>
      </c>
      <c r="C9" s="46" t="s">
        <v>605</v>
      </c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</row>
    <row customHeight="true" hidden="true" ht="16" r="10">
      <c r="A10" s="46" t="s">
        <v>606</v>
      </c>
      <c r="B10" s="46" t="s">
        <v>592</v>
      </c>
      <c r="C10" s="46" t="s">
        <v>607</v>
      </c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</row>
    <row customHeight="true" hidden="true" ht="16" r="11">
      <c r="A11" s="46" t="s">
        <v>608</v>
      </c>
      <c r="B11" s="46" t="s">
        <v>592</v>
      </c>
      <c r="C11" s="46" t="s">
        <v>609</v>
      </c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</row>
    <row customHeight="true" hidden="true" ht="16" r="12">
      <c r="A12" s="46" t="s">
        <v>610</v>
      </c>
      <c r="B12" s="46" t="s">
        <v>592</v>
      </c>
      <c r="C12" s="46" t="s">
        <v>611</v>
      </c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</row>
    <row customHeight="true" hidden="true" ht="16" r="13">
      <c r="A13" s="46" t="s">
        <v>612</v>
      </c>
      <c r="B13" s="46" t="s">
        <v>592</v>
      </c>
      <c r="C13" s="46" t="s">
        <v>613</v>
      </c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</row>
    <row customHeight="true" hidden="true" ht="16" r="14">
      <c r="A14" s="46" t="s">
        <v>614</v>
      </c>
      <c r="B14" s="46" t="s">
        <v>592</v>
      </c>
      <c r="C14" s="46" t="s">
        <v>615</v>
      </c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</row>
    <row customHeight="true" hidden="true" ht="16" r="15">
      <c r="A15" s="46" t="s">
        <v>616</v>
      </c>
      <c r="B15" s="46" t="s">
        <v>592</v>
      </c>
      <c r="C15" s="46" t="s">
        <v>617</v>
      </c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</row>
    <row customHeight="true" hidden="true" ht="16" r="16">
      <c r="A16" s="46" t="s">
        <v>618</v>
      </c>
      <c r="B16" s="46" t="s">
        <v>592</v>
      </c>
      <c r="C16" s="46" t="s">
        <v>619</v>
      </c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</row>
    <row customHeight="true" hidden="true" ht="16" r="17">
      <c r="A17" s="46" t="s">
        <v>620</v>
      </c>
      <c r="B17" s="46" t="s">
        <v>621</v>
      </c>
      <c r="C17" s="46" t="s">
        <v>622</v>
      </c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</row>
    <row customHeight="true" hidden="true" ht="16" r="18">
      <c r="A18" s="46" t="s">
        <v>623</v>
      </c>
      <c r="B18" s="46" t="s">
        <v>621</v>
      </c>
      <c r="C18" s="46" t="s">
        <v>622</v>
      </c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</row>
    <row customHeight="true" hidden="true" ht="16" r="19">
      <c r="A19" s="46" t="s">
        <v>624</v>
      </c>
      <c r="B19" s="46" t="s">
        <v>621</v>
      </c>
      <c r="C19" s="46" t="s">
        <v>622</v>
      </c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</row>
    <row customHeight="true" hidden="true" ht="16" r="20">
      <c r="A20" s="46" t="s">
        <v>625</v>
      </c>
      <c r="B20" s="46" t="s">
        <v>621</v>
      </c>
      <c r="C20" s="46" t="s">
        <v>622</v>
      </c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</row>
    <row customHeight="true" hidden="true" ht="16" r="21">
      <c r="A21" s="46" t="s">
        <v>626</v>
      </c>
      <c r="B21" s="46" t="s">
        <v>621</v>
      </c>
      <c r="C21" s="46" t="s">
        <v>622</v>
      </c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</row>
    <row customHeight="true" hidden="true" ht="16" r="22">
      <c r="A22" s="46" t="s">
        <v>627</v>
      </c>
      <c r="B22" s="46" t="s">
        <v>621</v>
      </c>
      <c r="C22" s="46" t="s">
        <v>622</v>
      </c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</row>
    <row customHeight="true" hidden="true" ht="16" r="23">
      <c r="A23" s="46" t="s">
        <v>628</v>
      </c>
      <c r="B23" s="46" t="s">
        <v>621</v>
      </c>
      <c r="C23" s="46" t="s">
        <v>622</v>
      </c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</row>
    <row r="24">
      <c r="A24" s="43" t="s">
        <v>629</v>
      </c>
      <c r="B24" s="43"/>
      <c r="C24" s="43"/>
      <c r="D24" s="44"/>
    </row>
    <row r="25">
      <c r="A25" s="45" t="s">
        <v>630</v>
      </c>
      <c r="B25" s="45" t="s">
        <v>631</v>
      </c>
      <c r="C25" s="45" t="s">
        <v>632</v>
      </c>
      <c r="D25" s="44"/>
    </row>
    <row r="26">
      <c r="A26" s="46" t="s">
        <v>633</v>
      </c>
      <c r="B26" s="46">
        <v>0</v>
      </c>
      <c r="C26" s="46" t="s">
        <v>634</v>
      </c>
      <c r="D26" s="44"/>
    </row>
    <row r="27">
      <c r="A27" s="46" t="s">
        <v>635</v>
      </c>
      <c r="B27" s="46">
        <v>0</v>
      </c>
      <c r="C27" s="46" t="s">
        <v>634</v>
      </c>
      <c r="D27" s="44"/>
    </row>
    <row r="28">
      <c r="A28" s="46" t="s">
        <v>636</v>
      </c>
      <c r="B28" s="46">
        <v>9</v>
      </c>
      <c r="C28" s="46" t="s">
        <v>637</v>
      </c>
      <c r="D28" s="44"/>
    </row>
    <row r="29">
      <c r="A29" s="46" t="s">
        <v>638</v>
      </c>
      <c r="B29" s="46">
        <v>9</v>
      </c>
      <c r="C29" s="46" t="s">
        <v>639</v>
      </c>
      <c r="D29" s="44"/>
    </row>
    <row r="30">
      <c r="A30" s="46" t="s">
        <v>640</v>
      </c>
      <c r="B30" s="46">
        <v>4</v>
      </c>
      <c r="C30" s="46" t="s">
        <v>641</v>
      </c>
      <c r="D30" s="44"/>
    </row>
    <row r="31">
      <c r="A31" s="46" t="s">
        <v>642</v>
      </c>
      <c r="B31" s="46">
        <v>8</v>
      </c>
      <c r="C31" s="46" t="s">
        <v>643</v>
      </c>
      <c r="D31" s="44"/>
    </row>
    <row r="32">
      <c r="A32" s="46" t="s">
        <v>644</v>
      </c>
      <c r="B32" s="46">
        <v>8</v>
      </c>
      <c r="C32" s="46" t="s">
        <v>645</v>
      </c>
      <c r="D32" s="44"/>
    </row>
    <row r="33">
      <c r="A33" s="46" t="s">
        <v>646</v>
      </c>
      <c r="B33" s="46">
        <v>6</v>
      </c>
      <c r="C33" s="46" t="s">
        <v>647</v>
      </c>
      <c r="D33" s="44"/>
    </row>
    <row r="34">
      <c r="A34" s="46" t="s">
        <v>648</v>
      </c>
      <c r="B34" s="46">
        <v>8</v>
      </c>
      <c r="C34" s="46" t="s">
        <v>649</v>
      </c>
      <c r="D34" s="44"/>
    </row>
    <row r="35">
      <c r="A35" s="46" t="s">
        <v>650</v>
      </c>
      <c r="B35" s="46">
        <v>5</v>
      </c>
      <c r="C35" s="46" t="s">
        <v>651</v>
      </c>
      <c r="D35" s="44"/>
    </row>
    <row r="36">
      <c r="A36" s="46" t="s">
        <v>652</v>
      </c>
      <c r="B36" s="46">
        <v>8</v>
      </c>
      <c r="C36" s="46" t="s">
        <v>653</v>
      </c>
      <c r="D36" s="44"/>
    </row>
    <row r="37">
      <c r="A37" s="46" t="s">
        <v>654</v>
      </c>
      <c r="B37" s="46">
        <v>4</v>
      </c>
      <c r="C37" s="46" t="s">
        <v>655</v>
      </c>
      <c r="D37" s="44"/>
    </row>
    <row r="38">
      <c r="A38" s="46" t="s">
        <v>656</v>
      </c>
      <c r="B38" s="46">
        <v>8</v>
      </c>
      <c r="C38" s="46" t="s">
        <v>657</v>
      </c>
      <c r="D38" s="44"/>
    </row>
    <row r="39">
      <c r="A39" s="46" t="s">
        <v>658</v>
      </c>
      <c r="B39" s="46">
        <v>2</v>
      </c>
      <c r="C39" s="46" t="s">
        <v>659</v>
      </c>
      <c r="D39" s="44"/>
    </row>
    <row r="40">
      <c r="A40" s="46" t="s">
        <v>660</v>
      </c>
      <c r="B40" s="46">
        <v>5</v>
      </c>
      <c r="C40" s="46" t="s">
        <v>661</v>
      </c>
      <c r="D40" s="44"/>
    </row>
    <row r="41">
      <c r="A41" s="46" t="s">
        <v>662</v>
      </c>
      <c r="B41" s="46">
        <v>6</v>
      </c>
      <c r="C41" s="46" t="s">
        <v>663</v>
      </c>
      <c r="D41" s="44"/>
    </row>
    <row r="42">
      <c r="A42" s="46" t="s">
        <v>664</v>
      </c>
      <c r="B42" s="46">
        <v>6</v>
      </c>
      <c r="C42" s="46" t="s">
        <v>665</v>
      </c>
      <c r="D42" s="44"/>
    </row>
    <row r="43">
      <c r="A43" s="46" t="s">
        <v>666</v>
      </c>
      <c r="B43" s="46">
        <v>8</v>
      </c>
      <c r="C43" s="46" t="s">
        <v>667</v>
      </c>
      <c r="D43" s="44"/>
    </row>
    <row r="44">
      <c r="A44" s="46" t="s">
        <v>668</v>
      </c>
      <c r="B44" s="46">
        <v>5</v>
      </c>
      <c r="C44" s="46" t="s">
        <v>669</v>
      </c>
      <c r="D44" s="44"/>
    </row>
    <row r="45">
      <c r="A45" s="46" t="s">
        <v>670</v>
      </c>
      <c r="B45" s="46">
        <v>5</v>
      </c>
      <c r="C45" s="46" t="s">
        <v>671</v>
      </c>
      <c r="D45" s="44"/>
    </row>
    <row r="46">
      <c r="A46" s="46" t="s">
        <v>672</v>
      </c>
      <c r="B46" s="46">
        <v>8</v>
      </c>
      <c r="C46" s="46" t="s">
        <v>673</v>
      </c>
      <c r="D46" s="44"/>
    </row>
    <row r="47">
      <c r="A47" s="46" t="s">
        <v>674</v>
      </c>
      <c r="B47" s="46">
        <v>4</v>
      </c>
      <c r="C47" s="46" t="s">
        <v>675</v>
      </c>
      <c r="D47" s="44"/>
    </row>
    <row r="48">
      <c r="A48" s="46" t="s">
        <v>676</v>
      </c>
      <c r="B48" s="46">
        <v>3</v>
      </c>
      <c r="C48" s="46" t="s">
        <v>677</v>
      </c>
      <c r="D48" s="44"/>
    </row>
    <row r="49">
      <c r="A49" s="46" t="s">
        <v>678</v>
      </c>
      <c r="B49" s="46">
        <v>3</v>
      </c>
      <c r="C49" s="46" t="s">
        <v>679</v>
      </c>
      <c r="D49" s="44"/>
    </row>
    <row r="50">
      <c r="A50" s="46" t="s">
        <v>680</v>
      </c>
      <c r="B50" s="46">
        <v>3</v>
      </c>
      <c r="C50" s="46" t="s">
        <v>681</v>
      </c>
      <c r="D50" s="44"/>
    </row>
    <row r="51">
      <c r="A51" s="46" t="s">
        <v>682</v>
      </c>
      <c r="B51" s="46">
        <v>3</v>
      </c>
      <c r="C51" s="46" t="s">
        <v>683</v>
      </c>
      <c r="D51" s="44"/>
    </row>
    <row r="52">
      <c r="A52" s="47"/>
      <c r="B52" s="47"/>
      <c r="C52" s="47"/>
      <c r="D52" s="44"/>
    </row>
    <row r="53">
      <c r="A53" s="43" t="s">
        <v>684</v>
      </c>
      <c r="B53" s="43"/>
      <c r="C53" s="43"/>
      <c r="D53" s="44"/>
    </row>
    <row r="54">
      <c r="A54" s="45" t="s">
        <v>685</v>
      </c>
      <c r="B54" s="45" t="s">
        <v>686</v>
      </c>
      <c r="C54" s="45" t="s">
        <v>687</v>
      </c>
      <c r="D54" s="44"/>
    </row>
    <row r="55">
      <c r="A55" s="46" t="s">
        <v>688</v>
      </c>
      <c r="B55" s="46">
        <v>6</v>
      </c>
      <c r="C55" s="46" t="s">
        <v>689</v>
      </c>
      <c r="D55" s="44"/>
    </row>
    <row r="56">
      <c r="A56" s="46" t="s">
        <v>690</v>
      </c>
      <c r="B56" s="46">
        <v>7</v>
      </c>
      <c r="C56" s="46" t="s">
        <v>691</v>
      </c>
      <c r="D56" s="44"/>
    </row>
    <row r="57">
      <c r="A57" s="46" t="s">
        <v>692</v>
      </c>
      <c r="B57" s="46">
        <v>5</v>
      </c>
      <c r="C57" s="46" t="s">
        <v>693</v>
      </c>
      <c r="D57" s="44"/>
    </row>
    <row r="58">
      <c r="A58" s="46" t="s">
        <v>694</v>
      </c>
      <c r="B58" s="46">
        <v>6</v>
      </c>
      <c r="C58" s="46" t="s">
        <v>695</v>
      </c>
      <c r="D58" s="44"/>
    </row>
    <row r="59">
      <c r="A59" s="46" t="s">
        <v>696</v>
      </c>
      <c r="B59" s="46">
        <v>7</v>
      </c>
      <c r="C59" s="46" t="s">
        <v>697</v>
      </c>
      <c r="D59" s="44"/>
    </row>
    <row r="60">
      <c r="A60" s="46" t="s">
        <v>698</v>
      </c>
      <c r="B60" s="46">
        <v>6</v>
      </c>
      <c r="C60" s="46" t="s">
        <v>699</v>
      </c>
      <c r="D60" s="44"/>
    </row>
    <row r="61">
      <c r="A61" s="46" t="s">
        <v>664</v>
      </c>
      <c r="B61" s="46">
        <v>6</v>
      </c>
      <c r="C61" s="46" t="s">
        <v>700</v>
      </c>
      <c r="D61" s="44"/>
    </row>
    <row r="62">
      <c r="A62" s="46" t="s">
        <v>654</v>
      </c>
      <c r="B62" s="46">
        <v>5</v>
      </c>
      <c r="C62" s="46" t="s">
        <v>701</v>
      </c>
      <c r="D62" s="44"/>
    </row>
    <row r="63">
      <c r="A63" s="46" t="s">
        <v>702</v>
      </c>
      <c r="B63" s="46">
        <v>7</v>
      </c>
      <c r="C63" s="46" t="s">
        <v>703</v>
      </c>
      <c r="D63" s="44"/>
    </row>
    <row r="64">
      <c r="A64" s="46" t="s">
        <v>662</v>
      </c>
      <c r="B64" s="46">
        <v>5</v>
      </c>
      <c r="C64" s="46" t="s">
        <v>704</v>
      </c>
      <c r="D64" s="44"/>
    </row>
    <row r="65">
      <c r="A65" s="46" t="s">
        <v>705</v>
      </c>
      <c r="B65" s="46">
        <v>8</v>
      </c>
      <c r="C65" s="46" t="s">
        <v>706</v>
      </c>
      <c r="D65" s="44"/>
    </row>
    <row r="66">
      <c r="A66" s="46" t="s">
        <v>707</v>
      </c>
      <c r="B66" s="46">
        <v>9</v>
      </c>
      <c r="C66" s="46" t="s">
        <v>708</v>
      </c>
      <c r="D66" s="44"/>
    </row>
    <row r="67">
      <c r="A67" s="46" t="s">
        <v>709</v>
      </c>
      <c r="B67" s="46">
        <v>8</v>
      </c>
      <c r="C67" s="46" t="s">
        <v>710</v>
      </c>
      <c r="D67" s="44"/>
    </row>
    <row r="68">
      <c r="A68" s="46" t="s">
        <v>711</v>
      </c>
      <c r="B68" s="46">
        <v>6</v>
      </c>
      <c r="C68" s="46" t="s">
        <v>712</v>
      </c>
      <c r="D68" s="44"/>
    </row>
    <row r="69">
      <c r="A69" s="46" t="s">
        <v>713</v>
      </c>
      <c r="B69" s="46">
        <v>8</v>
      </c>
      <c r="C69" s="46" t="s">
        <v>714</v>
      </c>
      <c r="D69" s="44"/>
    </row>
    <row r="70">
      <c r="A70" s="46" t="s">
        <v>715</v>
      </c>
      <c r="B70" s="46">
        <v>6</v>
      </c>
      <c r="C70" s="46" t="s">
        <v>716</v>
      </c>
      <c r="D70" s="44"/>
    </row>
    <row r="71">
      <c r="A71" s="46" t="s">
        <v>717</v>
      </c>
      <c r="B71" s="46">
        <v>5</v>
      </c>
      <c r="C71" s="46" t="s">
        <v>718</v>
      </c>
      <c r="D71" s="44"/>
    </row>
    <row r="72">
      <c r="A72" s="46" t="s">
        <v>719</v>
      </c>
      <c r="B72" s="46">
        <v>12</v>
      </c>
      <c r="C72" s="46" t="s">
        <v>720</v>
      </c>
      <c r="D72" s="44"/>
    </row>
    <row r="73">
      <c r="A73" s="46" t="s">
        <v>648</v>
      </c>
      <c r="B73" s="46">
        <v>6</v>
      </c>
      <c r="C73" s="46" t="s">
        <v>721</v>
      </c>
      <c r="D73" s="44"/>
    </row>
    <row r="74">
      <c r="A74" s="46" t="s">
        <v>658</v>
      </c>
      <c r="B74" s="46">
        <v>5</v>
      </c>
      <c r="C74" s="46" t="s">
        <v>722</v>
      </c>
      <c r="D74" s="44"/>
    </row>
    <row r="75">
      <c r="A75" s="46" t="s">
        <v>723</v>
      </c>
      <c r="B75" s="46">
        <v>4</v>
      </c>
      <c r="C75" s="46" t="s">
        <v>724</v>
      </c>
      <c r="D75" s="44"/>
    </row>
    <row r="76">
      <c r="A76" s="46" t="s">
        <v>725</v>
      </c>
      <c r="B76" s="46">
        <v>11</v>
      </c>
      <c r="C76" s="46" t="s">
        <v>726</v>
      </c>
      <c r="D76" s="44"/>
    </row>
    <row r="77">
      <c r="A77" s="46" t="s">
        <v>727</v>
      </c>
      <c r="B77" s="46">
        <v>4</v>
      </c>
      <c r="C77" s="46" t="s">
        <v>728</v>
      </c>
      <c r="D77" s="44"/>
    </row>
    <row r="78">
      <c r="A78" s="46" t="s">
        <v>646</v>
      </c>
      <c r="B78" s="46">
        <v>4</v>
      </c>
      <c r="C78" s="46" t="s">
        <v>729</v>
      </c>
      <c r="D78" s="44"/>
    </row>
    <row r="79">
      <c r="A79" s="46" t="s">
        <v>730</v>
      </c>
      <c r="B79" s="46">
        <v>6</v>
      </c>
      <c r="C79" s="46" t="s">
        <v>731</v>
      </c>
      <c r="D79" s="44"/>
    </row>
    <row r="80">
      <c r="A80" s="46" t="s">
        <v>732</v>
      </c>
      <c r="B80" s="46">
        <v>6</v>
      </c>
      <c r="C80" s="46" t="s">
        <v>733</v>
      </c>
      <c r="D80" s="44"/>
    </row>
    <row r="81">
      <c r="A81" s="46" t="s">
        <v>680</v>
      </c>
      <c r="B81" s="46">
        <v>6</v>
      </c>
      <c r="C81" s="46" t="s">
        <v>734</v>
      </c>
      <c r="D81" s="44"/>
    </row>
    <row r="82">
      <c r="A82" s="46" t="s">
        <v>642</v>
      </c>
      <c r="B82" s="46">
        <v>7</v>
      </c>
      <c r="C82" s="46" t="s">
        <v>735</v>
      </c>
      <c r="D82" s="44"/>
    </row>
    <row r="83">
      <c r="A83" s="46" t="s">
        <v>640</v>
      </c>
      <c r="B83" s="46">
        <v>5</v>
      </c>
      <c r="C83" s="46" t="s">
        <v>736</v>
      </c>
      <c r="D83" s="44"/>
    </row>
    <row r="84">
      <c r="A84" s="46" t="s">
        <v>737</v>
      </c>
      <c r="B84" s="46">
        <v>5</v>
      </c>
      <c r="C84" s="46" t="s">
        <v>738</v>
      </c>
      <c r="D84" s="44"/>
    </row>
    <row r="85">
      <c r="A85" s="46" t="s">
        <v>739</v>
      </c>
      <c r="B85" s="46">
        <v>4</v>
      </c>
      <c r="C85" s="46" t="s">
        <v>740</v>
      </c>
      <c r="D85" s="44"/>
    </row>
    <row r="86">
      <c r="A86" s="48"/>
      <c r="B86" s="48"/>
      <c r="C86" s="48"/>
    </row>
  </sheetData>
  <mergeCells>
    <mergeCell ref="A1:C1"/>
    <mergeCell ref="A24:C24"/>
    <mergeCell ref="A53:C5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